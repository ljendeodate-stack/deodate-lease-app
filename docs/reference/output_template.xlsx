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jen\deodate-lease-app\"/>
    </mc:Choice>
  </mc:AlternateContent>
  <xr:revisionPtr revIDLastSave="0" documentId="13_ncr:1_{1E305755-2488-4173-BC5A-4A16751A38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se Schedule blank" sheetId="9" r:id="rId1"/>
    <sheet name="Lease Schedule (populated)" sheetId="4" r:id="rId2"/>
    <sheet name="Annual Summary" sheetId="2" r:id="rId3"/>
    <sheet name="Audit Trai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8" i="9" l="1"/>
  <c r="B198" i="9"/>
  <c r="A198" i="9"/>
  <c r="S198" i="9" s="1"/>
  <c r="C197" i="9"/>
  <c r="B197" i="9"/>
  <c r="A197" i="9"/>
  <c r="S197" i="9" s="1"/>
  <c r="D196" i="9"/>
  <c r="C196" i="9"/>
  <c r="B196" i="9"/>
  <c r="A196" i="9"/>
  <c r="S196" i="9" s="1"/>
  <c r="C195" i="9"/>
  <c r="B195" i="9"/>
  <c r="A195" i="9"/>
  <c r="S195" i="9" s="1"/>
  <c r="S194" i="9"/>
  <c r="D194" i="9"/>
  <c r="C194" i="9"/>
  <c r="B194" i="9"/>
  <c r="A194" i="9"/>
  <c r="C193" i="9"/>
  <c r="B193" i="9"/>
  <c r="A193" i="9"/>
  <c r="S193" i="9" s="1"/>
  <c r="C192" i="9"/>
  <c r="B192" i="9"/>
  <c r="A192" i="9"/>
  <c r="S192" i="9" s="1"/>
  <c r="D191" i="9"/>
  <c r="C191" i="9"/>
  <c r="B191" i="9"/>
  <c r="A191" i="9"/>
  <c r="S191" i="9" s="1"/>
  <c r="C190" i="9"/>
  <c r="B190" i="9"/>
  <c r="A190" i="9"/>
  <c r="S190" i="9" s="1"/>
  <c r="C189" i="9"/>
  <c r="B189" i="9"/>
  <c r="A189" i="9"/>
  <c r="S189" i="9" s="1"/>
  <c r="D188" i="9"/>
  <c r="C188" i="9"/>
  <c r="B188" i="9"/>
  <c r="A188" i="9"/>
  <c r="S188" i="9" s="1"/>
  <c r="C187" i="9"/>
  <c r="B187" i="9"/>
  <c r="A187" i="9"/>
  <c r="S187" i="9" s="1"/>
  <c r="D186" i="9"/>
  <c r="C186" i="9"/>
  <c r="B186" i="9"/>
  <c r="A186" i="9"/>
  <c r="S186" i="9" s="1"/>
  <c r="C185" i="9"/>
  <c r="B185" i="9"/>
  <c r="A185" i="9"/>
  <c r="S185" i="9" s="1"/>
  <c r="C184" i="9"/>
  <c r="B184" i="9"/>
  <c r="A184" i="9"/>
  <c r="S184" i="9" s="1"/>
  <c r="C183" i="9"/>
  <c r="B183" i="9"/>
  <c r="A183" i="9"/>
  <c r="S183" i="9" s="1"/>
  <c r="C182" i="9"/>
  <c r="B182" i="9"/>
  <c r="A182" i="9"/>
  <c r="S182" i="9" s="1"/>
  <c r="S181" i="9"/>
  <c r="C181" i="9"/>
  <c r="B181" i="9"/>
  <c r="A181" i="9"/>
  <c r="D180" i="9"/>
  <c r="C180" i="9"/>
  <c r="B180" i="9"/>
  <c r="A180" i="9"/>
  <c r="S180" i="9" s="1"/>
  <c r="C179" i="9"/>
  <c r="B179" i="9"/>
  <c r="A179" i="9"/>
  <c r="S179" i="9" s="1"/>
  <c r="D178" i="9"/>
  <c r="C178" i="9"/>
  <c r="B178" i="9"/>
  <c r="A178" i="9"/>
  <c r="S178" i="9" s="1"/>
  <c r="C177" i="9"/>
  <c r="B177" i="9"/>
  <c r="A177" i="9"/>
  <c r="S177" i="9" s="1"/>
  <c r="S176" i="9"/>
  <c r="C176" i="9"/>
  <c r="B176" i="9"/>
  <c r="A176" i="9"/>
  <c r="D175" i="9"/>
  <c r="C175" i="9"/>
  <c r="B175" i="9"/>
  <c r="A175" i="9"/>
  <c r="S175" i="9" s="1"/>
  <c r="C174" i="9"/>
  <c r="B174" i="9"/>
  <c r="A174" i="9"/>
  <c r="S174" i="9" s="1"/>
  <c r="S173" i="9"/>
  <c r="C173" i="9"/>
  <c r="B173" i="9"/>
  <c r="A173" i="9"/>
  <c r="D172" i="9"/>
  <c r="C172" i="9"/>
  <c r="B172" i="9"/>
  <c r="A172" i="9"/>
  <c r="S172" i="9" s="1"/>
  <c r="C171" i="9"/>
  <c r="B171" i="9"/>
  <c r="A171" i="9"/>
  <c r="S171" i="9" s="1"/>
  <c r="C170" i="9"/>
  <c r="B170" i="9"/>
  <c r="A170" i="9"/>
  <c r="S170" i="9" s="1"/>
  <c r="C169" i="9"/>
  <c r="B169" i="9"/>
  <c r="A169" i="9"/>
  <c r="S169" i="9" s="1"/>
  <c r="S168" i="9"/>
  <c r="C168" i="9"/>
  <c r="B168" i="9"/>
  <c r="A168" i="9"/>
  <c r="D167" i="9"/>
  <c r="C167" i="9"/>
  <c r="B167" i="9"/>
  <c r="A167" i="9"/>
  <c r="S167" i="9" s="1"/>
  <c r="D166" i="9"/>
  <c r="C166" i="9"/>
  <c r="B166" i="9"/>
  <c r="A166" i="9"/>
  <c r="S166" i="9" s="1"/>
  <c r="S165" i="9"/>
  <c r="C165" i="9"/>
  <c r="B165" i="9"/>
  <c r="A165" i="9"/>
  <c r="D164" i="9"/>
  <c r="C164" i="9"/>
  <c r="B164" i="9"/>
  <c r="A164" i="9"/>
  <c r="S164" i="9" s="1"/>
  <c r="D163" i="9"/>
  <c r="C163" i="9"/>
  <c r="B163" i="9"/>
  <c r="A163" i="9"/>
  <c r="S163" i="9" s="1"/>
  <c r="D162" i="9"/>
  <c r="C162" i="9"/>
  <c r="B162" i="9"/>
  <c r="A162" i="9"/>
  <c r="S162" i="9" s="1"/>
  <c r="C161" i="9"/>
  <c r="B161" i="9"/>
  <c r="A161" i="9"/>
  <c r="S161" i="9" s="1"/>
  <c r="C160" i="9"/>
  <c r="B160" i="9"/>
  <c r="A160" i="9"/>
  <c r="S160" i="9" s="1"/>
  <c r="D159" i="9"/>
  <c r="C159" i="9"/>
  <c r="B159" i="9"/>
  <c r="A159" i="9"/>
  <c r="S159" i="9" s="1"/>
  <c r="C158" i="9"/>
  <c r="B158" i="9"/>
  <c r="A158" i="9"/>
  <c r="S158" i="9" s="1"/>
  <c r="C157" i="9"/>
  <c r="B157" i="9"/>
  <c r="A157" i="9"/>
  <c r="S157" i="9" s="1"/>
  <c r="D156" i="9"/>
  <c r="C156" i="9"/>
  <c r="B156" i="9"/>
  <c r="A156" i="9"/>
  <c r="S156" i="9" s="1"/>
  <c r="D155" i="9"/>
  <c r="C155" i="9"/>
  <c r="B155" i="9"/>
  <c r="A155" i="9"/>
  <c r="S155" i="9" s="1"/>
  <c r="D154" i="9"/>
  <c r="C154" i="9"/>
  <c r="B154" i="9"/>
  <c r="A154" i="9"/>
  <c r="S154" i="9" s="1"/>
  <c r="C153" i="9"/>
  <c r="B153" i="9"/>
  <c r="A153" i="9"/>
  <c r="S153" i="9" s="1"/>
  <c r="C152" i="9"/>
  <c r="B152" i="9"/>
  <c r="A152" i="9"/>
  <c r="S152" i="9" s="1"/>
  <c r="D151" i="9"/>
  <c r="C151" i="9"/>
  <c r="B151" i="9"/>
  <c r="A151" i="9"/>
  <c r="S151" i="9" s="1"/>
  <c r="C150" i="9"/>
  <c r="B150" i="9"/>
  <c r="A150" i="9"/>
  <c r="S150" i="9" s="1"/>
  <c r="C149" i="9"/>
  <c r="B149" i="9"/>
  <c r="A149" i="9"/>
  <c r="S149" i="9" s="1"/>
  <c r="D148" i="9"/>
  <c r="C148" i="9"/>
  <c r="B148" i="9"/>
  <c r="A148" i="9"/>
  <c r="S148" i="9" s="1"/>
  <c r="C147" i="9"/>
  <c r="B147" i="9"/>
  <c r="A147" i="9"/>
  <c r="S147" i="9" s="1"/>
  <c r="C146" i="9"/>
  <c r="B146" i="9"/>
  <c r="A146" i="9"/>
  <c r="S146" i="9" s="1"/>
  <c r="C145" i="9"/>
  <c r="B145" i="9"/>
  <c r="A145" i="9"/>
  <c r="S145" i="9" s="1"/>
  <c r="D144" i="9"/>
  <c r="C144" i="9"/>
  <c r="B144" i="9"/>
  <c r="A144" i="9"/>
  <c r="S144" i="9" s="1"/>
  <c r="D143" i="9"/>
  <c r="C143" i="9"/>
  <c r="B143" i="9"/>
  <c r="A143" i="9"/>
  <c r="S143" i="9" s="1"/>
  <c r="D142" i="9"/>
  <c r="C142" i="9"/>
  <c r="B142" i="9"/>
  <c r="A142" i="9"/>
  <c r="S142" i="9" s="1"/>
  <c r="S141" i="9"/>
  <c r="C141" i="9"/>
  <c r="B141" i="9"/>
  <c r="A141" i="9"/>
  <c r="C140" i="9"/>
  <c r="B140" i="9"/>
  <c r="A140" i="9"/>
  <c r="S140" i="9" s="1"/>
  <c r="C139" i="9"/>
  <c r="B139" i="9"/>
  <c r="A139" i="9"/>
  <c r="S139" i="9" s="1"/>
  <c r="D138" i="9"/>
  <c r="C138" i="9"/>
  <c r="B138" i="9"/>
  <c r="A138" i="9"/>
  <c r="S138" i="9" s="1"/>
  <c r="S137" i="9"/>
  <c r="D137" i="9"/>
  <c r="C137" i="9"/>
  <c r="B137" i="9"/>
  <c r="A137" i="9"/>
  <c r="D136" i="9"/>
  <c r="C136" i="9"/>
  <c r="B136" i="9"/>
  <c r="A136" i="9"/>
  <c r="S136" i="9" s="1"/>
  <c r="C135" i="9"/>
  <c r="B135" i="9"/>
  <c r="A135" i="9"/>
  <c r="S135" i="9" s="1"/>
  <c r="D134" i="9"/>
  <c r="C134" i="9"/>
  <c r="B134" i="9"/>
  <c r="A134" i="9"/>
  <c r="S134" i="9" s="1"/>
  <c r="S133" i="9"/>
  <c r="D133" i="9"/>
  <c r="C133" i="9"/>
  <c r="B133" i="9"/>
  <c r="A133" i="9"/>
  <c r="C132" i="9"/>
  <c r="B132" i="9"/>
  <c r="A132" i="9"/>
  <c r="S132" i="9" s="1"/>
  <c r="C131" i="9"/>
  <c r="B131" i="9"/>
  <c r="A131" i="9"/>
  <c r="S131" i="9" s="1"/>
  <c r="D130" i="9"/>
  <c r="C130" i="9"/>
  <c r="B130" i="9"/>
  <c r="A130" i="9"/>
  <c r="S130" i="9" s="1"/>
  <c r="S129" i="9"/>
  <c r="C129" i="9"/>
  <c r="B129" i="9"/>
  <c r="A129" i="9"/>
  <c r="D128" i="9"/>
  <c r="C128" i="9"/>
  <c r="B128" i="9"/>
  <c r="A128" i="9"/>
  <c r="S128" i="9" s="1"/>
  <c r="D127" i="9"/>
  <c r="C127" i="9"/>
  <c r="B127" i="9"/>
  <c r="A127" i="9"/>
  <c r="S127" i="9" s="1"/>
  <c r="D126" i="9"/>
  <c r="C126" i="9"/>
  <c r="B126" i="9"/>
  <c r="A126" i="9"/>
  <c r="S126" i="9" s="1"/>
  <c r="S125" i="9"/>
  <c r="C125" i="9"/>
  <c r="B125" i="9"/>
  <c r="A125" i="9"/>
  <c r="D124" i="9"/>
  <c r="C124" i="9"/>
  <c r="B124" i="9"/>
  <c r="A124" i="9"/>
  <c r="S124" i="9" s="1"/>
  <c r="D123" i="9"/>
  <c r="C123" i="9"/>
  <c r="B123" i="9"/>
  <c r="A123" i="9"/>
  <c r="S123" i="9" s="1"/>
  <c r="S122" i="9"/>
  <c r="D122" i="9"/>
  <c r="C122" i="9"/>
  <c r="B122" i="9"/>
  <c r="A122" i="9"/>
  <c r="C121" i="9"/>
  <c r="B121" i="9"/>
  <c r="A121" i="9"/>
  <c r="S121" i="9" s="1"/>
  <c r="S120" i="9"/>
  <c r="D120" i="9"/>
  <c r="C120" i="9"/>
  <c r="B120" i="9"/>
  <c r="A120" i="9"/>
  <c r="D119" i="9"/>
  <c r="C119" i="9"/>
  <c r="B119" i="9"/>
  <c r="A119" i="9"/>
  <c r="S119" i="9" s="1"/>
  <c r="S118" i="9"/>
  <c r="D118" i="9"/>
  <c r="C118" i="9"/>
  <c r="B118" i="9"/>
  <c r="A118" i="9"/>
  <c r="C117" i="9"/>
  <c r="B117" i="9"/>
  <c r="A117" i="9"/>
  <c r="S117" i="9" s="1"/>
  <c r="C116" i="9"/>
  <c r="B116" i="9"/>
  <c r="A116" i="9"/>
  <c r="S116" i="9" s="1"/>
  <c r="C115" i="9"/>
  <c r="B115" i="9"/>
  <c r="A115" i="9"/>
  <c r="S115" i="9" s="1"/>
  <c r="D114" i="9"/>
  <c r="C114" i="9"/>
  <c r="B114" i="9"/>
  <c r="A114" i="9"/>
  <c r="S114" i="9" s="1"/>
  <c r="C113" i="9"/>
  <c r="B113" i="9"/>
  <c r="A113" i="9"/>
  <c r="S113" i="9" s="1"/>
  <c r="C112" i="9"/>
  <c r="B112" i="9"/>
  <c r="A112" i="9"/>
  <c r="S112" i="9" s="1"/>
  <c r="C111" i="9"/>
  <c r="B111" i="9"/>
  <c r="A111" i="9"/>
  <c r="S111" i="9" s="1"/>
  <c r="S110" i="9"/>
  <c r="L110" i="9"/>
  <c r="D110" i="9"/>
  <c r="C110" i="9"/>
  <c r="B110" i="9"/>
  <c r="A110" i="9"/>
  <c r="D109" i="9"/>
  <c r="C109" i="9"/>
  <c r="B109" i="9"/>
  <c r="A109" i="9"/>
  <c r="S109" i="9" s="1"/>
  <c r="D108" i="9"/>
  <c r="C108" i="9"/>
  <c r="B108" i="9"/>
  <c r="A108" i="9"/>
  <c r="S108" i="9" s="1"/>
  <c r="D107" i="9"/>
  <c r="C107" i="9"/>
  <c r="B107" i="9"/>
  <c r="A107" i="9"/>
  <c r="S107" i="9" s="1"/>
  <c r="D106" i="9"/>
  <c r="C106" i="9"/>
  <c r="B106" i="9"/>
  <c r="A106" i="9"/>
  <c r="S106" i="9" s="1"/>
  <c r="D105" i="9"/>
  <c r="C105" i="9"/>
  <c r="B105" i="9"/>
  <c r="A105" i="9"/>
  <c r="S105" i="9" s="1"/>
  <c r="D104" i="9"/>
  <c r="C104" i="9"/>
  <c r="B104" i="9"/>
  <c r="A104" i="9"/>
  <c r="S104" i="9" s="1"/>
  <c r="C103" i="9"/>
  <c r="B103" i="9"/>
  <c r="A103" i="9"/>
  <c r="S103" i="9" s="1"/>
  <c r="C102" i="9"/>
  <c r="B102" i="9"/>
  <c r="A102" i="9"/>
  <c r="S102" i="9" s="1"/>
  <c r="C101" i="9"/>
  <c r="B101" i="9"/>
  <c r="A101" i="9"/>
  <c r="S101" i="9" s="1"/>
  <c r="C100" i="9"/>
  <c r="B100" i="9"/>
  <c r="A100" i="9"/>
  <c r="S100" i="9" s="1"/>
  <c r="C99" i="9"/>
  <c r="B99" i="9"/>
  <c r="A99" i="9"/>
  <c r="S99" i="9" s="1"/>
  <c r="D98" i="9"/>
  <c r="C98" i="9"/>
  <c r="B98" i="9"/>
  <c r="A98" i="9"/>
  <c r="S98" i="9" s="1"/>
  <c r="S97" i="9"/>
  <c r="D97" i="9"/>
  <c r="C97" i="9"/>
  <c r="B97" i="9"/>
  <c r="A97" i="9"/>
  <c r="D96" i="9"/>
  <c r="C96" i="9"/>
  <c r="B96" i="9"/>
  <c r="A96" i="9"/>
  <c r="S96" i="9" s="1"/>
  <c r="S95" i="9"/>
  <c r="C95" i="9"/>
  <c r="B95" i="9"/>
  <c r="A95" i="9"/>
  <c r="C94" i="9"/>
  <c r="B94" i="9"/>
  <c r="A94" i="9"/>
  <c r="S94" i="9" s="1"/>
  <c r="S93" i="9"/>
  <c r="C93" i="9"/>
  <c r="B93" i="9"/>
  <c r="A93" i="9"/>
  <c r="D92" i="9"/>
  <c r="C92" i="9"/>
  <c r="B92" i="9"/>
  <c r="A92" i="9"/>
  <c r="S92" i="9" s="1"/>
  <c r="S91" i="9"/>
  <c r="L91" i="9"/>
  <c r="D91" i="9"/>
  <c r="C91" i="9"/>
  <c r="B91" i="9"/>
  <c r="A91" i="9"/>
  <c r="D90" i="9"/>
  <c r="C90" i="9"/>
  <c r="B90" i="9"/>
  <c r="A90" i="9"/>
  <c r="S90" i="9" s="1"/>
  <c r="C89" i="9"/>
  <c r="B89" i="9"/>
  <c r="A89" i="9"/>
  <c r="S89" i="9" s="1"/>
  <c r="C88" i="9"/>
  <c r="B88" i="9"/>
  <c r="A88" i="9"/>
  <c r="S88" i="9" s="1"/>
  <c r="S87" i="9"/>
  <c r="C87" i="9"/>
  <c r="B87" i="9"/>
  <c r="A87" i="9"/>
  <c r="D86" i="9"/>
  <c r="C86" i="9"/>
  <c r="B86" i="9"/>
  <c r="A86" i="9"/>
  <c r="S86" i="9" s="1"/>
  <c r="C85" i="9"/>
  <c r="B85" i="9"/>
  <c r="A85" i="9"/>
  <c r="S85" i="9" s="1"/>
  <c r="D84" i="9"/>
  <c r="C84" i="9"/>
  <c r="B84" i="9"/>
  <c r="A84" i="9"/>
  <c r="S84" i="9" s="1"/>
  <c r="D83" i="9"/>
  <c r="C83" i="9"/>
  <c r="B83" i="9"/>
  <c r="A83" i="9"/>
  <c r="S83" i="9" s="1"/>
  <c r="C82" i="9"/>
  <c r="B82" i="9"/>
  <c r="A82" i="9"/>
  <c r="S82" i="9" s="1"/>
  <c r="C81" i="9"/>
  <c r="B81" i="9"/>
  <c r="A81" i="9"/>
  <c r="S81" i="9" s="1"/>
  <c r="D80" i="9"/>
  <c r="C80" i="9"/>
  <c r="B80" i="9"/>
  <c r="A80" i="9"/>
  <c r="S80" i="9" s="1"/>
  <c r="C79" i="9"/>
  <c r="B79" i="9"/>
  <c r="A79" i="9"/>
  <c r="S79" i="9" s="1"/>
  <c r="D78" i="9"/>
  <c r="C78" i="9"/>
  <c r="B78" i="9"/>
  <c r="A78" i="9"/>
  <c r="S78" i="9" s="1"/>
  <c r="C77" i="9"/>
  <c r="B77" i="9"/>
  <c r="A77" i="9"/>
  <c r="S77" i="9" s="1"/>
  <c r="S76" i="9"/>
  <c r="D76" i="9"/>
  <c r="C76" i="9"/>
  <c r="L76" i="9" s="1"/>
  <c r="B76" i="9"/>
  <c r="A76" i="9"/>
  <c r="C75" i="9"/>
  <c r="B75" i="9"/>
  <c r="A75" i="9"/>
  <c r="S75" i="9" s="1"/>
  <c r="C68" i="9"/>
  <c r="F44" i="9"/>
  <c r="I43" i="9"/>
  <c r="H43" i="9"/>
  <c r="G43" i="9"/>
  <c r="F41" i="9"/>
  <c r="C40" i="9"/>
  <c r="G32" i="9"/>
  <c r="I24" i="9"/>
  <c r="H24" i="9"/>
  <c r="G24" i="9"/>
  <c r="F22" i="9"/>
  <c r="C20" i="9"/>
  <c r="C19" i="9"/>
  <c r="G13" i="9"/>
  <c r="C10" i="9"/>
  <c r="H86" i="9" s="1"/>
  <c r="W75" i="4"/>
  <c r="X75" i="4"/>
  <c r="Y75" i="4"/>
  <c r="Z75" i="4"/>
  <c r="W76" i="4"/>
  <c r="X76" i="4"/>
  <c r="Y76" i="4"/>
  <c r="Z76" i="4"/>
  <c r="W77" i="4"/>
  <c r="X77" i="4"/>
  <c r="Y77" i="4"/>
  <c r="Z77" i="4"/>
  <c r="W78" i="4"/>
  <c r="X78" i="4"/>
  <c r="Y78" i="4"/>
  <c r="Z78" i="4"/>
  <c r="W79" i="4"/>
  <c r="X79" i="4"/>
  <c r="Y79" i="4"/>
  <c r="Z79" i="4"/>
  <c r="W80" i="4"/>
  <c r="X80" i="4"/>
  <c r="Y80" i="4"/>
  <c r="Z80" i="4"/>
  <c r="W81" i="4"/>
  <c r="X81" i="4"/>
  <c r="Y81" i="4"/>
  <c r="Z81" i="4"/>
  <c r="W82" i="4"/>
  <c r="X82" i="4"/>
  <c r="Y82" i="4"/>
  <c r="Z82" i="4"/>
  <c r="W83" i="4"/>
  <c r="X83" i="4"/>
  <c r="Y83" i="4"/>
  <c r="Z83" i="4"/>
  <c r="W84" i="4"/>
  <c r="X84" i="4"/>
  <c r="Y84" i="4"/>
  <c r="Z84" i="4"/>
  <c r="W85" i="4"/>
  <c r="X85" i="4"/>
  <c r="Y85" i="4"/>
  <c r="Z85" i="4"/>
  <c r="W86" i="4"/>
  <c r="X86" i="4"/>
  <c r="Y86" i="4"/>
  <c r="Z86" i="4"/>
  <c r="W87" i="4"/>
  <c r="X87" i="4"/>
  <c r="Y87" i="4"/>
  <c r="Z87" i="4"/>
  <c r="W88" i="4"/>
  <c r="X88" i="4"/>
  <c r="Y88" i="4"/>
  <c r="Z88" i="4"/>
  <c r="W89" i="4"/>
  <c r="X89" i="4"/>
  <c r="Y89" i="4"/>
  <c r="Z89" i="4"/>
  <c r="W90" i="4"/>
  <c r="X90" i="4"/>
  <c r="Y90" i="4"/>
  <c r="Z90" i="4"/>
  <c r="W91" i="4"/>
  <c r="X91" i="4"/>
  <c r="Y91" i="4"/>
  <c r="Z91" i="4"/>
  <c r="W92" i="4"/>
  <c r="X92" i="4"/>
  <c r="Y92" i="4"/>
  <c r="Z92" i="4"/>
  <c r="W93" i="4"/>
  <c r="X93" i="4"/>
  <c r="Y93" i="4"/>
  <c r="Z93" i="4"/>
  <c r="W94" i="4"/>
  <c r="X94" i="4"/>
  <c r="Y94" i="4"/>
  <c r="Z94" i="4"/>
  <c r="W95" i="4"/>
  <c r="X95" i="4"/>
  <c r="Y95" i="4"/>
  <c r="Z95" i="4"/>
  <c r="W96" i="4"/>
  <c r="X96" i="4"/>
  <c r="Y96" i="4"/>
  <c r="Z96" i="4"/>
  <c r="W97" i="4"/>
  <c r="X97" i="4"/>
  <c r="Y97" i="4"/>
  <c r="Z97" i="4"/>
  <c r="W98" i="4"/>
  <c r="X98" i="4"/>
  <c r="Y98" i="4"/>
  <c r="Z98" i="4"/>
  <c r="W99" i="4"/>
  <c r="X99" i="4"/>
  <c r="Y99" i="4"/>
  <c r="Z99" i="4"/>
  <c r="W100" i="4"/>
  <c r="X100" i="4"/>
  <c r="Y100" i="4"/>
  <c r="Z100" i="4"/>
  <c r="W101" i="4"/>
  <c r="X101" i="4"/>
  <c r="Y101" i="4"/>
  <c r="Z101" i="4"/>
  <c r="W102" i="4"/>
  <c r="X102" i="4"/>
  <c r="Y102" i="4"/>
  <c r="Z102" i="4"/>
  <c r="W103" i="4"/>
  <c r="X103" i="4"/>
  <c r="Y103" i="4"/>
  <c r="Z103" i="4"/>
  <c r="W104" i="4"/>
  <c r="X104" i="4"/>
  <c r="Y104" i="4"/>
  <c r="Z104" i="4"/>
  <c r="W105" i="4"/>
  <c r="X105" i="4"/>
  <c r="Y105" i="4"/>
  <c r="Z105" i="4"/>
  <c r="W106" i="4"/>
  <c r="X106" i="4"/>
  <c r="Y106" i="4"/>
  <c r="Z106" i="4"/>
  <c r="W107" i="4"/>
  <c r="X107" i="4"/>
  <c r="Y107" i="4"/>
  <c r="Z107" i="4"/>
  <c r="W108" i="4"/>
  <c r="X108" i="4"/>
  <c r="Y108" i="4"/>
  <c r="Z108" i="4"/>
  <c r="W109" i="4"/>
  <c r="X109" i="4"/>
  <c r="Y109" i="4"/>
  <c r="Z109" i="4"/>
  <c r="W110" i="4"/>
  <c r="X110" i="4"/>
  <c r="Y110" i="4"/>
  <c r="Z110" i="4"/>
  <c r="W111" i="4"/>
  <c r="X111" i="4"/>
  <c r="Y111" i="4"/>
  <c r="Z111" i="4"/>
  <c r="W112" i="4"/>
  <c r="X112" i="4"/>
  <c r="Y112" i="4"/>
  <c r="Z112" i="4"/>
  <c r="W113" i="4"/>
  <c r="X113" i="4"/>
  <c r="Y113" i="4"/>
  <c r="Z113" i="4"/>
  <c r="W114" i="4"/>
  <c r="X114" i="4"/>
  <c r="Y114" i="4"/>
  <c r="Z114" i="4"/>
  <c r="W115" i="4"/>
  <c r="X115" i="4"/>
  <c r="Y115" i="4"/>
  <c r="Z115" i="4"/>
  <c r="W116" i="4"/>
  <c r="X116" i="4"/>
  <c r="Y116" i="4"/>
  <c r="Z116" i="4"/>
  <c r="W117" i="4"/>
  <c r="X117" i="4"/>
  <c r="Y117" i="4"/>
  <c r="Z117" i="4"/>
  <c r="W118" i="4"/>
  <c r="X118" i="4"/>
  <c r="Y118" i="4"/>
  <c r="Z118" i="4"/>
  <c r="W119" i="4"/>
  <c r="X119" i="4"/>
  <c r="Y119" i="4"/>
  <c r="Z119" i="4"/>
  <c r="W120" i="4"/>
  <c r="X120" i="4"/>
  <c r="Y120" i="4"/>
  <c r="Z120" i="4"/>
  <c r="W121" i="4"/>
  <c r="X121" i="4"/>
  <c r="Y121" i="4"/>
  <c r="Z121" i="4"/>
  <c r="W122" i="4"/>
  <c r="X122" i="4"/>
  <c r="Y122" i="4"/>
  <c r="Z122" i="4"/>
  <c r="W123" i="4"/>
  <c r="X123" i="4"/>
  <c r="Y123" i="4"/>
  <c r="Z123" i="4"/>
  <c r="W124" i="4"/>
  <c r="X124" i="4"/>
  <c r="Y124" i="4"/>
  <c r="Z124" i="4"/>
  <c r="W125" i="4"/>
  <c r="X125" i="4"/>
  <c r="Y125" i="4"/>
  <c r="Z125" i="4"/>
  <c r="W126" i="4"/>
  <c r="X126" i="4"/>
  <c r="Y126" i="4"/>
  <c r="Z126" i="4"/>
  <c r="W127" i="4"/>
  <c r="X127" i="4"/>
  <c r="Y127" i="4"/>
  <c r="Z127" i="4"/>
  <c r="W128" i="4"/>
  <c r="X128" i="4"/>
  <c r="Y128" i="4"/>
  <c r="Z128" i="4"/>
  <c r="W129" i="4"/>
  <c r="X129" i="4"/>
  <c r="Y129" i="4"/>
  <c r="Z129" i="4"/>
  <c r="W130" i="4"/>
  <c r="X130" i="4"/>
  <c r="Y130" i="4"/>
  <c r="Z130" i="4"/>
  <c r="W131" i="4"/>
  <c r="X131" i="4"/>
  <c r="Y131" i="4"/>
  <c r="Z131" i="4"/>
  <c r="W132" i="4"/>
  <c r="X132" i="4"/>
  <c r="Y132" i="4"/>
  <c r="Z132" i="4"/>
  <c r="W133" i="4"/>
  <c r="X133" i="4"/>
  <c r="Y133" i="4"/>
  <c r="Z133" i="4"/>
  <c r="W134" i="4"/>
  <c r="X134" i="4"/>
  <c r="Y134" i="4"/>
  <c r="Z134" i="4"/>
  <c r="W135" i="4"/>
  <c r="X135" i="4"/>
  <c r="Y135" i="4"/>
  <c r="Z135" i="4"/>
  <c r="W136" i="4"/>
  <c r="X136" i="4"/>
  <c r="Y136" i="4"/>
  <c r="Z136" i="4"/>
  <c r="W137" i="4"/>
  <c r="X137" i="4"/>
  <c r="Y137" i="4"/>
  <c r="Z137" i="4"/>
  <c r="W138" i="4"/>
  <c r="X138" i="4"/>
  <c r="Y138" i="4"/>
  <c r="Z138" i="4"/>
  <c r="W139" i="4"/>
  <c r="X139" i="4"/>
  <c r="Y139" i="4"/>
  <c r="Z139" i="4"/>
  <c r="W140" i="4"/>
  <c r="X140" i="4"/>
  <c r="Y140" i="4"/>
  <c r="Z140" i="4"/>
  <c r="W141" i="4"/>
  <c r="X141" i="4"/>
  <c r="Y141" i="4"/>
  <c r="Z141" i="4"/>
  <c r="W142" i="4"/>
  <c r="X142" i="4"/>
  <c r="Y142" i="4"/>
  <c r="Z142" i="4"/>
  <c r="W143" i="4"/>
  <c r="X143" i="4"/>
  <c r="Y143" i="4"/>
  <c r="Z143" i="4"/>
  <c r="W144" i="4"/>
  <c r="X144" i="4"/>
  <c r="Y144" i="4"/>
  <c r="Z144" i="4"/>
  <c r="W145" i="4"/>
  <c r="X145" i="4"/>
  <c r="Y145" i="4"/>
  <c r="Z145" i="4"/>
  <c r="W146" i="4"/>
  <c r="X146" i="4"/>
  <c r="Y146" i="4"/>
  <c r="Z146" i="4"/>
  <c r="W147" i="4"/>
  <c r="X147" i="4"/>
  <c r="Y147" i="4"/>
  <c r="Z147" i="4"/>
  <c r="W148" i="4"/>
  <c r="X148" i="4"/>
  <c r="Y148" i="4"/>
  <c r="Z148" i="4"/>
  <c r="W149" i="4"/>
  <c r="X149" i="4"/>
  <c r="Y149" i="4"/>
  <c r="Z149" i="4"/>
  <c r="W150" i="4"/>
  <c r="X150" i="4"/>
  <c r="Y150" i="4"/>
  <c r="Z150" i="4"/>
  <c r="W151" i="4"/>
  <c r="X151" i="4"/>
  <c r="Y151" i="4"/>
  <c r="Z151" i="4"/>
  <c r="W152" i="4"/>
  <c r="X152" i="4"/>
  <c r="Y152" i="4"/>
  <c r="Z152" i="4"/>
  <c r="W153" i="4"/>
  <c r="X153" i="4"/>
  <c r="Y153" i="4"/>
  <c r="Z153" i="4"/>
  <c r="W154" i="4"/>
  <c r="X154" i="4"/>
  <c r="Y154" i="4"/>
  <c r="Z154" i="4"/>
  <c r="W155" i="4"/>
  <c r="X155" i="4"/>
  <c r="Y155" i="4"/>
  <c r="Z155" i="4"/>
  <c r="W156" i="4"/>
  <c r="X156" i="4"/>
  <c r="Y156" i="4"/>
  <c r="Z156" i="4"/>
  <c r="W157" i="4"/>
  <c r="X157" i="4"/>
  <c r="Y157" i="4"/>
  <c r="Z157" i="4"/>
  <c r="W158" i="4"/>
  <c r="X158" i="4"/>
  <c r="Y158" i="4"/>
  <c r="Z158" i="4"/>
  <c r="W159" i="4"/>
  <c r="X159" i="4"/>
  <c r="Y159" i="4"/>
  <c r="Z159" i="4"/>
  <c r="W160" i="4"/>
  <c r="X160" i="4"/>
  <c r="Y160" i="4"/>
  <c r="Z160" i="4"/>
  <c r="W161" i="4"/>
  <c r="X161" i="4"/>
  <c r="Y161" i="4"/>
  <c r="Z161" i="4"/>
  <c r="W162" i="4"/>
  <c r="X162" i="4"/>
  <c r="Y162" i="4"/>
  <c r="Z162" i="4"/>
  <c r="W163" i="4"/>
  <c r="X163" i="4"/>
  <c r="Y163" i="4"/>
  <c r="Z163" i="4"/>
  <c r="W164" i="4"/>
  <c r="X164" i="4"/>
  <c r="Y164" i="4"/>
  <c r="Z164" i="4"/>
  <c r="W165" i="4"/>
  <c r="X165" i="4"/>
  <c r="Y165" i="4"/>
  <c r="Z165" i="4"/>
  <c r="W166" i="4"/>
  <c r="X166" i="4"/>
  <c r="Y166" i="4"/>
  <c r="Z166" i="4"/>
  <c r="W167" i="4"/>
  <c r="X167" i="4"/>
  <c r="Y167" i="4"/>
  <c r="Z167" i="4"/>
  <c r="W168" i="4"/>
  <c r="X168" i="4"/>
  <c r="Y168" i="4"/>
  <c r="Z168" i="4"/>
  <c r="W169" i="4"/>
  <c r="X169" i="4"/>
  <c r="Y169" i="4"/>
  <c r="Z169" i="4"/>
  <c r="W170" i="4"/>
  <c r="X170" i="4"/>
  <c r="Y170" i="4"/>
  <c r="Z170" i="4"/>
  <c r="W171" i="4"/>
  <c r="X171" i="4"/>
  <c r="Y171" i="4"/>
  <c r="Z171" i="4"/>
  <c r="W172" i="4"/>
  <c r="X172" i="4"/>
  <c r="Y172" i="4"/>
  <c r="Z172" i="4"/>
  <c r="W173" i="4"/>
  <c r="X173" i="4"/>
  <c r="Y173" i="4"/>
  <c r="Z173" i="4"/>
  <c r="W174" i="4"/>
  <c r="X174" i="4"/>
  <c r="Y174" i="4"/>
  <c r="Z174" i="4"/>
  <c r="W175" i="4"/>
  <c r="X175" i="4"/>
  <c r="Y175" i="4"/>
  <c r="Z175" i="4"/>
  <c r="W176" i="4"/>
  <c r="X176" i="4"/>
  <c r="Y176" i="4"/>
  <c r="Z176" i="4"/>
  <c r="W177" i="4"/>
  <c r="X177" i="4"/>
  <c r="Y177" i="4"/>
  <c r="Z177" i="4"/>
  <c r="W178" i="4"/>
  <c r="X178" i="4"/>
  <c r="Y178" i="4"/>
  <c r="Z178" i="4"/>
  <c r="W179" i="4"/>
  <c r="X179" i="4"/>
  <c r="Y179" i="4"/>
  <c r="Z179" i="4"/>
  <c r="W180" i="4"/>
  <c r="X180" i="4"/>
  <c r="Y180" i="4"/>
  <c r="Z180" i="4"/>
  <c r="W181" i="4"/>
  <c r="X181" i="4"/>
  <c r="Y181" i="4"/>
  <c r="Z181" i="4"/>
  <c r="W182" i="4"/>
  <c r="X182" i="4"/>
  <c r="Y182" i="4"/>
  <c r="Z182" i="4"/>
  <c r="W183" i="4"/>
  <c r="X183" i="4"/>
  <c r="Y183" i="4"/>
  <c r="Z183" i="4"/>
  <c r="W184" i="4"/>
  <c r="X184" i="4"/>
  <c r="Y184" i="4"/>
  <c r="Z184" i="4"/>
  <c r="W185" i="4"/>
  <c r="X185" i="4"/>
  <c r="Y185" i="4"/>
  <c r="Z185" i="4"/>
  <c r="W186" i="4"/>
  <c r="X186" i="4"/>
  <c r="Y186" i="4"/>
  <c r="Z186" i="4"/>
  <c r="W187" i="4"/>
  <c r="X187" i="4"/>
  <c r="Y187" i="4"/>
  <c r="Z187" i="4"/>
  <c r="W188" i="4"/>
  <c r="X188" i="4"/>
  <c r="Y188" i="4"/>
  <c r="Z188" i="4"/>
  <c r="W189" i="4"/>
  <c r="X189" i="4"/>
  <c r="Y189" i="4"/>
  <c r="Z189" i="4"/>
  <c r="W190" i="4"/>
  <c r="X190" i="4"/>
  <c r="Y190" i="4"/>
  <c r="Z190" i="4"/>
  <c r="W191" i="4"/>
  <c r="X191" i="4"/>
  <c r="Y191" i="4"/>
  <c r="Z191" i="4"/>
  <c r="W192" i="4"/>
  <c r="X192" i="4"/>
  <c r="Y192" i="4"/>
  <c r="Z192" i="4"/>
  <c r="W193" i="4"/>
  <c r="X193" i="4"/>
  <c r="Y193" i="4"/>
  <c r="Z193" i="4"/>
  <c r="W194" i="4"/>
  <c r="X194" i="4"/>
  <c r="Y194" i="4"/>
  <c r="Z194" i="4"/>
  <c r="W195" i="4"/>
  <c r="X195" i="4"/>
  <c r="Y195" i="4"/>
  <c r="Z195" i="4"/>
  <c r="W196" i="4"/>
  <c r="X196" i="4"/>
  <c r="Y196" i="4"/>
  <c r="Z196" i="4"/>
  <c r="W197" i="4"/>
  <c r="X197" i="4"/>
  <c r="Y197" i="4"/>
  <c r="Z197" i="4"/>
  <c r="W198" i="4"/>
  <c r="X198" i="4"/>
  <c r="Y198" i="4"/>
  <c r="Z198" i="4"/>
  <c r="G121" i="4"/>
  <c r="G123" i="4"/>
  <c r="G167" i="4"/>
  <c r="C76" i="4"/>
  <c r="C77" i="4"/>
  <c r="C78" i="4"/>
  <c r="C79" i="4"/>
  <c r="D79" i="4" s="1"/>
  <c r="C80" i="4"/>
  <c r="C81" i="4"/>
  <c r="C82" i="4"/>
  <c r="C83" i="4"/>
  <c r="C84" i="4"/>
  <c r="G84" i="4" s="1"/>
  <c r="C85" i="4"/>
  <c r="C86" i="4"/>
  <c r="C87" i="4"/>
  <c r="G87" i="4" s="1"/>
  <c r="C88" i="4"/>
  <c r="G88" i="4" s="1"/>
  <c r="C89" i="4"/>
  <c r="G89" i="4" s="1"/>
  <c r="C90" i="4"/>
  <c r="C91" i="4"/>
  <c r="G91" i="4" s="1"/>
  <c r="C92" i="4"/>
  <c r="C93" i="4"/>
  <c r="C94" i="4"/>
  <c r="C95" i="4"/>
  <c r="D95" i="4" s="1"/>
  <c r="C96" i="4"/>
  <c r="C97" i="4"/>
  <c r="C98" i="4"/>
  <c r="C99" i="4"/>
  <c r="C100" i="4"/>
  <c r="C101" i="4"/>
  <c r="C102" i="4"/>
  <c r="C103" i="4"/>
  <c r="C104" i="4"/>
  <c r="C105" i="4"/>
  <c r="C106" i="4"/>
  <c r="C107" i="4"/>
  <c r="G107" i="4" s="1"/>
  <c r="C108" i="4"/>
  <c r="C109" i="4"/>
  <c r="C110" i="4"/>
  <c r="C111" i="4"/>
  <c r="D111" i="4" s="1"/>
  <c r="C112" i="4"/>
  <c r="C113" i="4"/>
  <c r="C114" i="4"/>
  <c r="C115" i="4"/>
  <c r="C116" i="4"/>
  <c r="C117" i="4"/>
  <c r="C118" i="4"/>
  <c r="C119" i="4"/>
  <c r="C120" i="4"/>
  <c r="G120" i="4" s="1"/>
  <c r="C121" i="4"/>
  <c r="D121" i="4" s="1"/>
  <c r="C122" i="4"/>
  <c r="C123" i="4"/>
  <c r="C124" i="4"/>
  <c r="D124" i="4" s="1"/>
  <c r="C125" i="4"/>
  <c r="C126" i="4"/>
  <c r="C127" i="4"/>
  <c r="D127" i="4" s="1"/>
  <c r="C128" i="4"/>
  <c r="C129" i="4"/>
  <c r="C130" i="4"/>
  <c r="C131" i="4"/>
  <c r="C132" i="4"/>
  <c r="G132" i="4" s="1"/>
  <c r="C133" i="4"/>
  <c r="C134" i="4"/>
  <c r="C135" i="4"/>
  <c r="G135" i="4" s="1"/>
  <c r="C136" i="4"/>
  <c r="G136" i="4" s="1"/>
  <c r="C137" i="4"/>
  <c r="G137" i="4" s="1"/>
  <c r="C138" i="4"/>
  <c r="G138" i="4" s="1"/>
  <c r="C139" i="4"/>
  <c r="G139" i="4" s="1"/>
  <c r="C140" i="4"/>
  <c r="C141" i="4"/>
  <c r="C142" i="4"/>
  <c r="C143" i="4"/>
  <c r="C144" i="4"/>
  <c r="C145" i="4"/>
  <c r="C146" i="4"/>
  <c r="C147" i="4"/>
  <c r="C148" i="4"/>
  <c r="G148" i="4" s="1"/>
  <c r="C149" i="4"/>
  <c r="C150" i="4"/>
  <c r="C151" i="4"/>
  <c r="C152" i="4"/>
  <c r="G152" i="4" s="1"/>
  <c r="C153" i="4"/>
  <c r="G153" i="4" s="1"/>
  <c r="C154" i="4"/>
  <c r="G154" i="4" s="1"/>
  <c r="C155" i="4"/>
  <c r="C156" i="4"/>
  <c r="D156" i="4" s="1"/>
  <c r="C157" i="4"/>
  <c r="C158" i="4"/>
  <c r="C159" i="4"/>
  <c r="C160" i="4"/>
  <c r="C161" i="4"/>
  <c r="C162" i="4"/>
  <c r="C163" i="4"/>
  <c r="C164" i="4"/>
  <c r="G164" i="4" s="1"/>
  <c r="C165" i="4"/>
  <c r="C166" i="4"/>
  <c r="C167" i="4"/>
  <c r="C168" i="4"/>
  <c r="C169" i="4"/>
  <c r="D169" i="4" s="1"/>
  <c r="C170" i="4"/>
  <c r="G170" i="4" s="1"/>
  <c r="C171" i="4"/>
  <c r="G171" i="4" s="1"/>
  <c r="C172" i="4"/>
  <c r="C173" i="4"/>
  <c r="C174" i="4"/>
  <c r="C175" i="4"/>
  <c r="C176" i="4"/>
  <c r="C177" i="4"/>
  <c r="C178" i="4"/>
  <c r="C179" i="4"/>
  <c r="C180" i="4"/>
  <c r="G180" i="4" s="1"/>
  <c r="C181" i="4"/>
  <c r="C182" i="4"/>
  <c r="C183" i="4"/>
  <c r="G183" i="4" s="1"/>
  <c r="C184" i="4"/>
  <c r="G184" i="4" s="1"/>
  <c r="C185" i="4"/>
  <c r="D185" i="4" s="1"/>
  <c r="C186" i="4"/>
  <c r="G186" i="4" s="1"/>
  <c r="C187" i="4"/>
  <c r="C188" i="4"/>
  <c r="D188" i="4" s="1"/>
  <c r="C189" i="4"/>
  <c r="C190" i="4"/>
  <c r="C191" i="4"/>
  <c r="C192" i="4"/>
  <c r="C193" i="4"/>
  <c r="C194" i="4"/>
  <c r="C195" i="4"/>
  <c r="C196" i="4"/>
  <c r="G196" i="4" s="1"/>
  <c r="C197" i="4"/>
  <c r="F197" i="4" s="1"/>
  <c r="C198" i="4"/>
  <c r="C75" i="4"/>
  <c r="F44" i="4"/>
  <c r="F41" i="4"/>
  <c r="F22" i="4"/>
  <c r="C40" i="4"/>
  <c r="C10" i="4"/>
  <c r="G90" i="4" s="1"/>
  <c r="D76" i="4"/>
  <c r="D90" i="4"/>
  <c r="D92" i="4"/>
  <c r="D105" i="4"/>
  <c r="D106" i="4"/>
  <c r="D108" i="4"/>
  <c r="D122" i="4"/>
  <c r="D135" i="4"/>
  <c r="D138" i="4"/>
  <c r="D140" i="4"/>
  <c r="D151" i="4"/>
  <c r="D153" i="4"/>
  <c r="D154" i="4"/>
  <c r="D167" i="4"/>
  <c r="D170" i="4"/>
  <c r="D172" i="4"/>
  <c r="D183" i="4"/>
  <c r="D186" i="4"/>
  <c r="D75" i="4"/>
  <c r="D78" i="4"/>
  <c r="D94" i="4"/>
  <c r="D126" i="4"/>
  <c r="D142" i="4"/>
  <c r="D1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G169" i="4" s="1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B198" i="4"/>
  <c r="C20" i="4"/>
  <c r="C19" i="4"/>
  <c r="I43" i="4"/>
  <c r="H43" i="4"/>
  <c r="G43" i="4"/>
  <c r="G129" i="9" l="1"/>
  <c r="J114" i="9"/>
  <c r="K84" i="9"/>
  <c r="K107" i="9"/>
  <c r="H126" i="9"/>
  <c r="L104" i="9"/>
  <c r="L96" i="9"/>
  <c r="I123" i="9"/>
  <c r="J78" i="9"/>
  <c r="L88" i="9"/>
  <c r="D121" i="9"/>
  <c r="E121" i="9" s="1"/>
  <c r="F121" i="9" s="1"/>
  <c r="K78" i="9"/>
  <c r="E80" i="9"/>
  <c r="E83" i="9"/>
  <c r="L84" i="9"/>
  <c r="I86" i="9"/>
  <c r="E97" i="9"/>
  <c r="E105" i="9"/>
  <c r="L107" i="9"/>
  <c r="H108" i="9"/>
  <c r="L114" i="9"/>
  <c r="E122" i="9"/>
  <c r="J123" i="9"/>
  <c r="I126" i="9"/>
  <c r="D141" i="9"/>
  <c r="J148" i="9"/>
  <c r="G77" i="9"/>
  <c r="L78" i="9"/>
  <c r="F80" i="9"/>
  <c r="F83" i="9"/>
  <c r="J85" i="9"/>
  <c r="J86" i="9"/>
  <c r="G88" i="9"/>
  <c r="E90" i="9"/>
  <c r="F90" i="9" s="1"/>
  <c r="H92" i="9"/>
  <c r="G97" i="9"/>
  <c r="D103" i="9"/>
  <c r="E103" i="9" s="1"/>
  <c r="L103" i="9"/>
  <c r="I105" i="9"/>
  <c r="I108" i="9"/>
  <c r="K112" i="9"/>
  <c r="J112" i="9"/>
  <c r="I112" i="9"/>
  <c r="G115" i="9"/>
  <c r="I117" i="9"/>
  <c r="H117" i="9"/>
  <c r="G117" i="9"/>
  <c r="I122" i="9"/>
  <c r="K123" i="9"/>
  <c r="J126" i="9"/>
  <c r="L131" i="9"/>
  <c r="G131" i="9"/>
  <c r="I131" i="9"/>
  <c r="G80" i="9"/>
  <c r="G83" i="9"/>
  <c r="D85" i="9"/>
  <c r="K86" i="9"/>
  <c r="I92" i="9"/>
  <c r="D95" i="9"/>
  <c r="H95" i="9" s="1"/>
  <c r="H97" i="9"/>
  <c r="D100" i="9"/>
  <c r="E100" i="9" s="1"/>
  <c r="J105" i="9"/>
  <c r="J108" i="9"/>
  <c r="L109" i="9"/>
  <c r="K109" i="9"/>
  <c r="J109" i="9"/>
  <c r="D112" i="9"/>
  <c r="D117" i="9"/>
  <c r="L117" i="9" s="1"/>
  <c r="E118" i="9"/>
  <c r="E120" i="9"/>
  <c r="G121" i="9"/>
  <c r="K122" i="9"/>
  <c r="K126" i="9"/>
  <c r="D131" i="9"/>
  <c r="H131" i="9" s="1"/>
  <c r="L166" i="9"/>
  <c r="H80" i="9"/>
  <c r="H83" i="9"/>
  <c r="E85" i="9"/>
  <c r="F85" i="9" s="1"/>
  <c r="L86" i="9"/>
  <c r="G90" i="9"/>
  <c r="J92" i="9"/>
  <c r="I97" i="9"/>
  <c r="K105" i="9"/>
  <c r="K108" i="9"/>
  <c r="E112" i="9"/>
  <c r="F112" i="9" s="1"/>
  <c r="E117" i="9"/>
  <c r="F117" i="9" s="1"/>
  <c r="F118" i="9"/>
  <c r="E119" i="9"/>
  <c r="F119" i="9" s="1"/>
  <c r="F120" i="9"/>
  <c r="H121" i="9"/>
  <c r="H125" i="9"/>
  <c r="G125" i="9"/>
  <c r="E125" i="9"/>
  <c r="F125" i="9" s="1"/>
  <c r="D125" i="9"/>
  <c r="J125" i="9"/>
  <c r="E131" i="9"/>
  <c r="F131" i="9" s="1"/>
  <c r="H134" i="9"/>
  <c r="E76" i="9"/>
  <c r="D79" i="9"/>
  <c r="E79" i="9" s="1"/>
  <c r="F79" i="9" s="1"/>
  <c r="I80" i="9"/>
  <c r="I83" i="9"/>
  <c r="D87" i="9"/>
  <c r="H87" i="9" s="1"/>
  <c r="H90" i="9"/>
  <c r="K92" i="9"/>
  <c r="L93" i="9"/>
  <c r="J93" i="9"/>
  <c r="J97" i="9"/>
  <c r="L105" i="9"/>
  <c r="E106" i="9"/>
  <c r="L108" i="9"/>
  <c r="E109" i="9"/>
  <c r="J116" i="9"/>
  <c r="H118" i="9"/>
  <c r="K120" i="9"/>
  <c r="I121" i="9"/>
  <c r="I125" i="9"/>
  <c r="I134" i="9"/>
  <c r="F76" i="9"/>
  <c r="J80" i="9"/>
  <c r="D82" i="9"/>
  <c r="J83" i="9"/>
  <c r="G85" i="9"/>
  <c r="E87" i="9"/>
  <c r="F87" i="9" s="1"/>
  <c r="I90" i="9"/>
  <c r="L92" i="9"/>
  <c r="D93" i="9"/>
  <c r="K97" i="9"/>
  <c r="H103" i="9"/>
  <c r="F106" i="9"/>
  <c r="F109" i="9"/>
  <c r="G112" i="9"/>
  <c r="J118" i="9"/>
  <c r="J119" i="9"/>
  <c r="K125" i="9"/>
  <c r="J128" i="9"/>
  <c r="J134" i="9"/>
  <c r="L149" i="9"/>
  <c r="G76" i="9"/>
  <c r="K80" i="9"/>
  <c r="E82" i="9"/>
  <c r="K83" i="9"/>
  <c r="H85" i="9"/>
  <c r="J90" i="9"/>
  <c r="E93" i="9"/>
  <c r="L97" i="9"/>
  <c r="I103" i="9"/>
  <c r="G106" i="9"/>
  <c r="G109" i="9"/>
  <c r="H112" i="9"/>
  <c r="D113" i="9"/>
  <c r="K118" i="9"/>
  <c r="L125" i="9"/>
  <c r="L128" i="9"/>
  <c r="L134" i="9"/>
  <c r="H76" i="9"/>
  <c r="G79" i="9"/>
  <c r="L80" i="9"/>
  <c r="F82" i="9"/>
  <c r="L83" i="9"/>
  <c r="I85" i="9"/>
  <c r="G87" i="9"/>
  <c r="D89" i="9"/>
  <c r="L89" i="9" s="1"/>
  <c r="L90" i="9"/>
  <c r="H91" i="9"/>
  <c r="F93" i="9"/>
  <c r="J100" i="9"/>
  <c r="J103" i="9"/>
  <c r="H106" i="9"/>
  <c r="H109" i="9"/>
  <c r="G110" i="9"/>
  <c r="L112" i="9"/>
  <c r="E113" i="9"/>
  <c r="F113" i="9" s="1"/>
  <c r="L118" i="9"/>
  <c r="L140" i="9"/>
  <c r="K140" i="9"/>
  <c r="I140" i="9"/>
  <c r="D140" i="9"/>
  <c r="J140" i="9"/>
  <c r="H140" i="9"/>
  <c r="J144" i="9"/>
  <c r="D75" i="9"/>
  <c r="K75" i="9" s="1"/>
  <c r="I76" i="9"/>
  <c r="H79" i="9"/>
  <c r="G82" i="9"/>
  <c r="E84" i="9"/>
  <c r="K85" i="9"/>
  <c r="G93" i="9"/>
  <c r="K95" i="9"/>
  <c r="K96" i="9"/>
  <c r="I96" i="9"/>
  <c r="G98" i="9"/>
  <c r="D101" i="9"/>
  <c r="L101" i="9" s="1"/>
  <c r="K103" i="9"/>
  <c r="I106" i="9"/>
  <c r="H107" i="9"/>
  <c r="I109" i="9"/>
  <c r="G113" i="9"/>
  <c r="L124" i="9"/>
  <c r="K124" i="9"/>
  <c r="I124" i="9"/>
  <c r="J124" i="9"/>
  <c r="G124" i="9"/>
  <c r="E124" i="9"/>
  <c r="F124" i="9" s="1"/>
  <c r="L127" i="9"/>
  <c r="K127" i="9"/>
  <c r="J127" i="9"/>
  <c r="H127" i="9"/>
  <c r="G127" i="9"/>
  <c r="E127" i="9"/>
  <c r="F127" i="9" s="1"/>
  <c r="K130" i="9"/>
  <c r="J130" i="9"/>
  <c r="I130" i="9"/>
  <c r="G130" i="9"/>
  <c r="L130" i="9"/>
  <c r="G133" i="9"/>
  <c r="E140" i="9"/>
  <c r="G153" i="9"/>
  <c r="I191" i="9"/>
  <c r="J188" i="9"/>
  <c r="H178" i="9"/>
  <c r="I175" i="9"/>
  <c r="J172" i="9"/>
  <c r="H191" i="9"/>
  <c r="I188" i="9"/>
  <c r="G178" i="9"/>
  <c r="H175" i="9"/>
  <c r="I172" i="9"/>
  <c r="G191" i="9"/>
  <c r="H188" i="9"/>
  <c r="F178" i="9"/>
  <c r="G175" i="9"/>
  <c r="G188" i="9"/>
  <c r="E191" i="9"/>
  <c r="L186" i="9"/>
  <c r="G185" i="9"/>
  <c r="E188" i="9"/>
  <c r="F188" i="9" s="1"/>
  <c r="E172" i="9"/>
  <c r="F172" i="9" s="1"/>
  <c r="E156" i="9"/>
  <c r="L196" i="9"/>
  <c r="L180" i="9"/>
  <c r="L164" i="9"/>
  <c r="L148" i="9"/>
  <c r="K196" i="9"/>
  <c r="J196" i="9"/>
  <c r="J180" i="9"/>
  <c r="I196" i="9"/>
  <c r="I180" i="9"/>
  <c r="H196" i="9"/>
  <c r="L197" i="9"/>
  <c r="G196" i="9"/>
  <c r="J197" i="9"/>
  <c r="E196" i="9"/>
  <c r="K194" i="9"/>
  <c r="L191" i="9"/>
  <c r="G190" i="9"/>
  <c r="E180" i="9"/>
  <c r="F180" i="9" s="1"/>
  <c r="K178" i="9"/>
  <c r="L175" i="9"/>
  <c r="L172" i="9"/>
  <c r="J166" i="9"/>
  <c r="J163" i="9"/>
  <c r="G154" i="9"/>
  <c r="G151" i="9"/>
  <c r="H144" i="9"/>
  <c r="K142" i="9"/>
  <c r="F196" i="9"/>
  <c r="H180" i="9"/>
  <c r="H172" i="9"/>
  <c r="I166" i="9"/>
  <c r="I163" i="9"/>
  <c r="G157" i="9"/>
  <c r="G180" i="9"/>
  <c r="G172" i="9"/>
  <c r="H166" i="9"/>
  <c r="E163" i="9"/>
  <c r="E154" i="9"/>
  <c r="F154" i="9" s="1"/>
  <c r="K191" i="9"/>
  <c r="L162" i="9"/>
  <c r="L159" i="9"/>
  <c r="L156" i="9"/>
  <c r="G187" i="9"/>
  <c r="K175" i="9"/>
  <c r="K162" i="9"/>
  <c r="K159" i="9"/>
  <c r="J156" i="9"/>
  <c r="G148" i="9"/>
  <c r="G193" i="9"/>
  <c r="J162" i="9"/>
  <c r="I159" i="9"/>
  <c r="I156" i="9"/>
  <c r="E175" i="9"/>
  <c r="F175" i="9" s="1"/>
  <c r="H162" i="9"/>
  <c r="H159" i="9"/>
  <c r="H156" i="9"/>
  <c r="E148" i="9"/>
  <c r="F148" i="9" s="1"/>
  <c r="K181" i="9"/>
  <c r="F156" i="9"/>
  <c r="L178" i="9"/>
  <c r="H168" i="9"/>
  <c r="J164" i="9"/>
  <c r="K197" i="9"/>
  <c r="L188" i="9"/>
  <c r="J178" i="9"/>
  <c r="G177" i="9"/>
  <c r="I197" i="9"/>
  <c r="E178" i="9"/>
  <c r="H167" i="9"/>
  <c r="H164" i="9"/>
  <c r="I155" i="9"/>
  <c r="E186" i="9"/>
  <c r="F186" i="9" s="1"/>
  <c r="G167" i="9"/>
  <c r="G164" i="9"/>
  <c r="L194" i="9"/>
  <c r="F164" i="9"/>
  <c r="G155" i="9"/>
  <c r="L151" i="9"/>
  <c r="K144" i="9"/>
  <c r="J138" i="9"/>
  <c r="J194" i="9"/>
  <c r="K166" i="9"/>
  <c r="I164" i="9"/>
  <c r="G159" i="9"/>
  <c r="I148" i="9"/>
  <c r="G146" i="9"/>
  <c r="I144" i="9"/>
  <c r="E138" i="9"/>
  <c r="F138" i="9" s="1"/>
  <c r="J122" i="9"/>
  <c r="G116" i="9"/>
  <c r="E164" i="9"/>
  <c r="E159" i="9"/>
  <c r="F159" i="9" s="1"/>
  <c r="H148" i="9"/>
  <c r="I143" i="9"/>
  <c r="I137" i="9"/>
  <c r="H128" i="9"/>
  <c r="L154" i="9"/>
  <c r="E144" i="9"/>
  <c r="F144" i="9" s="1"/>
  <c r="G143" i="9"/>
  <c r="L142" i="9"/>
  <c r="H137" i="9"/>
  <c r="G128" i="9"/>
  <c r="H122" i="9"/>
  <c r="H154" i="9"/>
  <c r="I151" i="9"/>
  <c r="J142" i="9"/>
  <c r="G137" i="9"/>
  <c r="L136" i="9"/>
  <c r="G122" i="9"/>
  <c r="L119" i="9"/>
  <c r="G162" i="9"/>
  <c r="H151" i="9"/>
  <c r="E143" i="9"/>
  <c r="F143" i="9" s="1"/>
  <c r="I142" i="9"/>
  <c r="K136" i="9"/>
  <c r="G132" i="9"/>
  <c r="E128" i="9"/>
  <c r="F128" i="9" s="1"/>
  <c r="F122" i="9"/>
  <c r="K119" i="9"/>
  <c r="G114" i="9"/>
  <c r="E162" i="9"/>
  <c r="F162" i="9" s="1"/>
  <c r="K155" i="9"/>
  <c r="E151" i="9"/>
  <c r="F151" i="9" s="1"/>
  <c r="H142" i="9"/>
  <c r="J136" i="9"/>
  <c r="I167" i="9"/>
  <c r="J155" i="9"/>
  <c r="I119" i="9"/>
  <c r="E98" i="9"/>
  <c r="F98" i="9" s="1"/>
  <c r="G169" i="9"/>
  <c r="E167" i="9"/>
  <c r="F167" i="9" s="1"/>
  <c r="H155" i="9"/>
  <c r="H119" i="9"/>
  <c r="L106" i="9"/>
  <c r="E155" i="9"/>
  <c r="L126" i="9"/>
  <c r="G119" i="9"/>
  <c r="K106" i="9"/>
  <c r="K90" i="9"/>
  <c r="L163" i="9"/>
  <c r="K163" i="9"/>
  <c r="G158" i="9"/>
  <c r="G156" i="9"/>
  <c r="L147" i="9"/>
  <c r="H138" i="9"/>
  <c r="G134" i="9"/>
  <c r="L133" i="9"/>
  <c r="L144" i="9"/>
  <c r="G138" i="9"/>
  <c r="E134" i="9"/>
  <c r="F134" i="9" s="1"/>
  <c r="K128" i="9"/>
  <c r="L122" i="9"/>
  <c r="E75" i="9"/>
  <c r="J76" i="9"/>
  <c r="I79" i="9"/>
  <c r="H82" i="9"/>
  <c r="L85" i="9"/>
  <c r="I87" i="9"/>
  <c r="E91" i="9"/>
  <c r="F91" i="9" s="1"/>
  <c r="H93" i="9"/>
  <c r="H98" i="9"/>
  <c r="L100" i="9"/>
  <c r="E101" i="9"/>
  <c r="G101" i="9" s="1"/>
  <c r="E104" i="9"/>
  <c r="G104" i="9" s="1"/>
  <c r="J106" i="9"/>
  <c r="E110" i="9"/>
  <c r="H113" i="9"/>
  <c r="I138" i="9"/>
  <c r="F140" i="9"/>
  <c r="I147" i="9"/>
  <c r="G161" i="9"/>
  <c r="C13" i="9"/>
  <c r="C14" i="9" s="1"/>
  <c r="K76" i="9"/>
  <c r="E78" i="9"/>
  <c r="F78" i="9" s="1"/>
  <c r="J79" i="9"/>
  <c r="D81" i="9"/>
  <c r="I82" i="9"/>
  <c r="F84" i="9"/>
  <c r="J87" i="9"/>
  <c r="G89" i="9"/>
  <c r="I93" i="9"/>
  <c r="E96" i="9"/>
  <c r="F96" i="9" s="1"/>
  <c r="I98" i="9"/>
  <c r="E107" i="9"/>
  <c r="F110" i="9"/>
  <c r="I113" i="9"/>
  <c r="H124" i="9"/>
  <c r="I127" i="9"/>
  <c r="E130" i="9"/>
  <c r="K138" i="9"/>
  <c r="G140" i="9"/>
  <c r="G75" i="9"/>
  <c r="K79" i="9"/>
  <c r="J82" i="9"/>
  <c r="G84" i="9"/>
  <c r="K87" i="9"/>
  <c r="H89" i="9"/>
  <c r="G91" i="9"/>
  <c r="K93" i="9"/>
  <c r="G94" i="9"/>
  <c r="J98" i="9"/>
  <c r="H99" i="9"/>
  <c r="F107" i="9"/>
  <c r="H110" i="9"/>
  <c r="J113" i="9"/>
  <c r="F130" i="9"/>
  <c r="L138" i="9"/>
  <c r="G78" i="9"/>
  <c r="K82" i="9"/>
  <c r="H84" i="9"/>
  <c r="E86" i="9"/>
  <c r="L87" i="9"/>
  <c r="I89" i="9"/>
  <c r="I91" i="9"/>
  <c r="D94" i="9"/>
  <c r="H94" i="9" s="1"/>
  <c r="G96" i="9"/>
  <c r="L98" i="9"/>
  <c r="D99" i="9"/>
  <c r="L99" i="9" s="1"/>
  <c r="H101" i="9"/>
  <c r="H104" i="9"/>
  <c r="G107" i="9"/>
  <c r="I110" i="9"/>
  <c r="K113" i="9"/>
  <c r="H130" i="9"/>
  <c r="I75" i="9"/>
  <c r="H78" i="9"/>
  <c r="G81" i="9"/>
  <c r="L82" i="9"/>
  <c r="I84" i="9"/>
  <c r="F86" i="9"/>
  <c r="J89" i="9"/>
  <c r="J91" i="9"/>
  <c r="E94" i="9"/>
  <c r="F94" i="9" s="1"/>
  <c r="H96" i="9"/>
  <c r="E99" i="9"/>
  <c r="G99" i="9" s="1"/>
  <c r="I101" i="9"/>
  <c r="J104" i="9"/>
  <c r="I107" i="9"/>
  <c r="J110" i="9"/>
  <c r="E111" i="9"/>
  <c r="F111" i="9" s="1"/>
  <c r="D111" i="9"/>
  <c r="H111" i="9" s="1"/>
  <c r="L113" i="9"/>
  <c r="H114" i="9"/>
  <c r="J115" i="9"/>
  <c r="I145" i="9"/>
  <c r="I141" i="9"/>
  <c r="L141" i="9"/>
  <c r="K141" i="9"/>
  <c r="J141" i="9"/>
  <c r="H141" i="9"/>
  <c r="G141" i="9"/>
  <c r="E141" i="9"/>
  <c r="F141" i="9" s="1"/>
  <c r="D77" i="9"/>
  <c r="I78" i="9"/>
  <c r="J84" i="9"/>
  <c r="G86" i="9"/>
  <c r="D88" i="9"/>
  <c r="E88" i="9" s="1"/>
  <c r="F88" i="9" s="1"/>
  <c r="K89" i="9"/>
  <c r="K91" i="9"/>
  <c r="G92" i="9"/>
  <c r="E92" i="9"/>
  <c r="F92" i="9" s="1"/>
  <c r="J96" i="9"/>
  <c r="F97" i="9"/>
  <c r="F99" i="9"/>
  <c r="K101" i="9"/>
  <c r="D102" i="9"/>
  <c r="K104" i="9"/>
  <c r="H105" i="9"/>
  <c r="G105" i="9"/>
  <c r="F105" i="9"/>
  <c r="J107" i="9"/>
  <c r="G108" i="9"/>
  <c r="F108" i="9"/>
  <c r="E108" i="9"/>
  <c r="K110" i="9"/>
  <c r="G111" i="9"/>
  <c r="I114" i="9"/>
  <c r="D115" i="9"/>
  <c r="E123" i="9"/>
  <c r="F123" i="9" s="1"/>
  <c r="G135" i="9"/>
  <c r="I118" i="9"/>
  <c r="L120" i="9"/>
  <c r="H123" i="9"/>
  <c r="G123" i="9"/>
  <c r="K133" i="9"/>
  <c r="L139" i="9"/>
  <c r="H139" i="9"/>
  <c r="G139" i="9"/>
  <c r="D139" i="9"/>
  <c r="K139" i="9" s="1"/>
  <c r="G152" i="9"/>
  <c r="J152" i="9"/>
  <c r="D152" i="9"/>
  <c r="L152" i="9" s="1"/>
  <c r="E152" i="9"/>
  <c r="F152" i="9" s="1"/>
  <c r="L155" i="9"/>
  <c r="H165" i="9"/>
  <c r="L165" i="9"/>
  <c r="G165" i="9"/>
  <c r="D165" i="9"/>
  <c r="K165" i="9" s="1"/>
  <c r="H152" i="9"/>
  <c r="L123" i="9"/>
  <c r="I136" i="9"/>
  <c r="H136" i="9"/>
  <c r="G136" i="9"/>
  <c r="E136" i="9"/>
  <c r="F136" i="9" s="1"/>
  <c r="I152" i="9"/>
  <c r="E114" i="9"/>
  <c r="F114" i="9" s="1"/>
  <c r="L137" i="9"/>
  <c r="J137" i="9"/>
  <c r="E137" i="9"/>
  <c r="F137" i="9" s="1"/>
  <c r="H149" i="9"/>
  <c r="D149" i="9"/>
  <c r="J149" i="9" s="1"/>
  <c r="G149" i="9"/>
  <c r="E150" i="9"/>
  <c r="F150" i="9" s="1"/>
  <c r="G150" i="9"/>
  <c r="I120" i="9"/>
  <c r="H120" i="9"/>
  <c r="G120" i="9"/>
  <c r="E149" i="9"/>
  <c r="F149" i="9" s="1"/>
  <c r="D150" i="9"/>
  <c r="K150" i="9" s="1"/>
  <c r="D145" i="9"/>
  <c r="L145" i="9" s="1"/>
  <c r="K145" i="9"/>
  <c r="J145" i="9"/>
  <c r="H145" i="9"/>
  <c r="H150" i="9"/>
  <c r="J133" i="9"/>
  <c r="I133" i="9"/>
  <c r="H133" i="9"/>
  <c r="F133" i="9"/>
  <c r="E145" i="9"/>
  <c r="F145" i="9" s="1"/>
  <c r="G147" i="9"/>
  <c r="K147" i="9"/>
  <c r="D147" i="9"/>
  <c r="E147" i="9" s="1"/>
  <c r="F147" i="9" s="1"/>
  <c r="I149" i="9"/>
  <c r="L150" i="9"/>
  <c r="K170" i="9"/>
  <c r="J170" i="9"/>
  <c r="I170" i="9"/>
  <c r="L170" i="9"/>
  <c r="G170" i="9"/>
  <c r="F170" i="9"/>
  <c r="E170" i="9"/>
  <c r="D170" i="9"/>
  <c r="H170" i="9" s="1"/>
  <c r="K98" i="9"/>
  <c r="I104" i="9"/>
  <c r="K114" i="9"/>
  <c r="G118" i="9"/>
  <c r="J120" i="9"/>
  <c r="I128" i="9"/>
  <c r="D129" i="9"/>
  <c r="H129" i="9" s="1"/>
  <c r="E133" i="9"/>
  <c r="K134" i="9"/>
  <c r="K137" i="9"/>
  <c r="G145" i="9"/>
  <c r="H147" i="9"/>
  <c r="K149" i="9"/>
  <c r="L192" i="9"/>
  <c r="G192" i="9"/>
  <c r="D192" i="9"/>
  <c r="G168" i="9"/>
  <c r="D168" i="9"/>
  <c r="L176" i="9"/>
  <c r="G176" i="9"/>
  <c r="D176" i="9"/>
  <c r="H181" i="9"/>
  <c r="G181" i="9"/>
  <c r="E181" i="9"/>
  <c r="F181" i="9" s="1"/>
  <c r="D181" i="9"/>
  <c r="J181" i="9"/>
  <c r="H143" i="9"/>
  <c r="L153" i="9"/>
  <c r="D153" i="9"/>
  <c r="H153" i="9" s="1"/>
  <c r="E169" i="9"/>
  <c r="F169" i="9" s="1"/>
  <c r="D169" i="9"/>
  <c r="I181" i="9"/>
  <c r="J183" i="9"/>
  <c r="H183" i="9"/>
  <c r="G183" i="9"/>
  <c r="D183" i="9"/>
  <c r="E126" i="9"/>
  <c r="E142" i="9"/>
  <c r="J143" i="9"/>
  <c r="K168" i="9"/>
  <c r="H173" i="9"/>
  <c r="G173" i="9"/>
  <c r="L181" i="9"/>
  <c r="D116" i="9"/>
  <c r="L116" i="9" s="1"/>
  <c r="D132" i="9"/>
  <c r="F142" i="9"/>
  <c r="K143" i="9"/>
  <c r="I146" i="9"/>
  <c r="G160" i="9"/>
  <c r="L168" i="9"/>
  <c r="D171" i="9"/>
  <c r="D173" i="9"/>
  <c r="J189" i="9"/>
  <c r="I189" i="9"/>
  <c r="H189" i="9"/>
  <c r="G189" i="9"/>
  <c r="G126" i="9"/>
  <c r="D135" i="9"/>
  <c r="G142" i="9"/>
  <c r="L143" i="9"/>
  <c r="G144" i="9"/>
  <c r="D146" i="9"/>
  <c r="K151" i="9"/>
  <c r="J151" i="9"/>
  <c r="J153" i="9"/>
  <c r="K154" i="9"/>
  <c r="J154" i="9"/>
  <c r="I154" i="9"/>
  <c r="D157" i="9"/>
  <c r="D160" i="9"/>
  <c r="H163" i="9"/>
  <c r="G163" i="9"/>
  <c r="F163" i="9"/>
  <c r="G166" i="9"/>
  <c r="E166" i="9"/>
  <c r="F166" i="9" s="1"/>
  <c r="G171" i="9"/>
  <c r="E173" i="9"/>
  <c r="F173" i="9" s="1"/>
  <c r="L185" i="9"/>
  <c r="D189" i="9"/>
  <c r="K189" i="9" s="1"/>
  <c r="L198" i="9"/>
  <c r="E158" i="9"/>
  <c r="F158" i="9" s="1"/>
  <c r="D161" i="9"/>
  <c r="L161" i="9"/>
  <c r="F155" i="9"/>
  <c r="D158" i="9"/>
  <c r="E161" i="9"/>
  <c r="F161" i="9" s="1"/>
  <c r="L167" i="9"/>
  <c r="K167" i="9"/>
  <c r="J167" i="9"/>
  <c r="L179" i="9"/>
  <c r="K179" i="9"/>
  <c r="H179" i="9"/>
  <c r="G179" i="9"/>
  <c r="E179" i="9"/>
  <c r="F179" i="9" s="1"/>
  <c r="D179" i="9"/>
  <c r="G174" i="9"/>
  <c r="G186" i="9"/>
  <c r="D195" i="9"/>
  <c r="L195" i="9" s="1"/>
  <c r="D182" i="9"/>
  <c r="H186" i="9"/>
  <c r="D198" i="9"/>
  <c r="K148" i="9"/>
  <c r="K164" i="9"/>
  <c r="K180" i="9"/>
  <c r="E182" i="9"/>
  <c r="F182" i="9" s="1"/>
  <c r="D185" i="9"/>
  <c r="I186" i="9"/>
  <c r="E198" i="9"/>
  <c r="F198" i="9" s="1"/>
  <c r="E185" i="9"/>
  <c r="F185" i="9" s="1"/>
  <c r="J186" i="9"/>
  <c r="G195" i="9"/>
  <c r="G182" i="9"/>
  <c r="K186" i="9"/>
  <c r="G198" i="9"/>
  <c r="H198" i="9"/>
  <c r="H185" i="9"/>
  <c r="F191" i="9"/>
  <c r="E194" i="9"/>
  <c r="F194" i="9" s="1"/>
  <c r="D197" i="9"/>
  <c r="I198" i="9"/>
  <c r="J182" i="9"/>
  <c r="D184" i="9"/>
  <c r="I185" i="9"/>
  <c r="E197" i="9"/>
  <c r="J198" i="9"/>
  <c r="K182" i="9"/>
  <c r="J185" i="9"/>
  <c r="D187" i="9"/>
  <c r="I187" i="9" s="1"/>
  <c r="G194" i="9"/>
  <c r="F197" i="9"/>
  <c r="K198" i="9"/>
  <c r="D174" i="9"/>
  <c r="K185" i="9"/>
  <c r="E187" i="9"/>
  <c r="F187" i="9" s="1"/>
  <c r="D190" i="9"/>
  <c r="E190" i="9" s="1"/>
  <c r="F190" i="9" s="1"/>
  <c r="H194" i="9"/>
  <c r="G197" i="9"/>
  <c r="K156" i="9"/>
  <c r="J159" i="9"/>
  <c r="I162" i="9"/>
  <c r="K172" i="9"/>
  <c r="E174" i="9"/>
  <c r="F174" i="9" s="1"/>
  <c r="J175" i="9"/>
  <c r="D177" i="9"/>
  <c r="I178" i="9"/>
  <c r="G184" i="9"/>
  <c r="K188" i="9"/>
  <c r="J191" i="9"/>
  <c r="D193" i="9"/>
  <c r="H193" i="9" s="1"/>
  <c r="I194" i="9"/>
  <c r="H197" i="9"/>
  <c r="Z199" i="4"/>
  <c r="Y199" i="4"/>
  <c r="X199" i="4"/>
  <c r="W199" i="4"/>
  <c r="G168" i="4"/>
  <c r="G122" i="4"/>
  <c r="D89" i="4"/>
  <c r="G155" i="4"/>
  <c r="G119" i="4"/>
  <c r="G116" i="4"/>
  <c r="G187" i="4"/>
  <c r="G151" i="4"/>
  <c r="D137" i="4"/>
  <c r="G75" i="4"/>
  <c r="G185" i="4"/>
  <c r="G195" i="4"/>
  <c r="G198" i="4"/>
  <c r="G182" i="4"/>
  <c r="G166" i="4"/>
  <c r="G150" i="4"/>
  <c r="G134" i="4"/>
  <c r="G118" i="4"/>
  <c r="G86" i="4"/>
  <c r="D191" i="4"/>
  <c r="G197" i="4"/>
  <c r="G181" i="4"/>
  <c r="G165" i="4"/>
  <c r="G149" i="4"/>
  <c r="G133" i="4"/>
  <c r="G117" i="4"/>
  <c r="G85" i="4"/>
  <c r="G131" i="4"/>
  <c r="F167" i="4"/>
  <c r="G194" i="4"/>
  <c r="G178" i="4"/>
  <c r="G162" i="4"/>
  <c r="G146" i="4"/>
  <c r="G130" i="4"/>
  <c r="G114" i="4"/>
  <c r="G82" i="4"/>
  <c r="G163" i="4"/>
  <c r="F198" i="4"/>
  <c r="G193" i="4"/>
  <c r="G177" i="4"/>
  <c r="G161" i="4"/>
  <c r="G145" i="4"/>
  <c r="G129" i="4"/>
  <c r="G113" i="4"/>
  <c r="G81" i="4"/>
  <c r="D159" i="4"/>
  <c r="D175" i="4"/>
  <c r="G192" i="4"/>
  <c r="G176" i="4"/>
  <c r="G160" i="4"/>
  <c r="G144" i="4"/>
  <c r="G128" i="4"/>
  <c r="G112" i="4"/>
  <c r="G80" i="4"/>
  <c r="G147" i="4"/>
  <c r="G83" i="4"/>
  <c r="D143" i="4"/>
  <c r="I143" i="4" s="1"/>
  <c r="F196" i="4"/>
  <c r="G191" i="4"/>
  <c r="G175" i="4"/>
  <c r="G159" i="4"/>
  <c r="G143" i="4"/>
  <c r="G127" i="4"/>
  <c r="G111" i="4"/>
  <c r="G79" i="4"/>
  <c r="G179" i="4"/>
  <c r="G115" i="4"/>
  <c r="F83" i="4"/>
  <c r="G190" i="4"/>
  <c r="G174" i="4"/>
  <c r="G158" i="4"/>
  <c r="G142" i="4"/>
  <c r="G126" i="4"/>
  <c r="G110" i="4"/>
  <c r="G94" i="4"/>
  <c r="G78" i="4"/>
  <c r="G189" i="4"/>
  <c r="G173" i="4"/>
  <c r="G157" i="4"/>
  <c r="G141" i="4"/>
  <c r="G125" i="4"/>
  <c r="G109" i="4"/>
  <c r="G93" i="4"/>
  <c r="G77" i="4"/>
  <c r="G188" i="4"/>
  <c r="G172" i="4"/>
  <c r="G156" i="4"/>
  <c r="G140" i="4"/>
  <c r="G124" i="4"/>
  <c r="G108" i="4"/>
  <c r="G92" i="4"/>
  <c r="G76" i="4"/>
  <c r="D158" i="4"/>
  <c r="J158" i="4" s="1"/>
  <c r="D190" i="4"/>
  <c r="D176" i="4"/>
  <c r="E176" i="4" s="1"/>
  <c r="F176" i="4" s="1"/>
  <c r="D144" i="4"/>
  <c r="J144" i="4" s="1"/>
  <c r="D128" i="4"/>
  <c r="D112" i="4"/>
  <c r="D96" i="4"/>
  <c r="J96" i="4" s="1"/>
  <c r="D110" i="4"/>
  <c r="L110" i="4" s="1"/>
  <c r="D192" i="4"/>
  <c r="D160" i="4"/>
  <c r="D80" i="4"/>
  <c r="L80" i="4" s="1"/>
  <c r="D187" i="4"/>
  <c r="K187" i="4" s="1"/>
  <c r="D171" i="4"/>
  <c r="D155" i="4"/>
  <c r="D139" i="4"/>
  <c r="H139" i="4" s="1"/>
  <c r="D123" i="4"/>
  <c r="L123" i="4" s="1"/>
  <c r="D107" i="4"/>
  <c r="K107" i="4" s="1"/>
  <c r="D91" i="4"/>
  <c r="L75" i="4"/>
  <c r="D184" i="4"/>
  <c r="J184" i="4" s="1"/>
  <c r="D168" i="4"/>
  <c r="H168" i="4" s="1"/>
  <c r="D152" i="4"/>
  <c r="H152" i="4" s="1"/>
  <c r="D136" i="4"/>
  <c r="L136" i="4" s="1"/>
  <c r="D120" i="4"/>
  <c r="J120" i="4" s="1"/>
  <c r="D104" i="4"/>
  <c r="H104" i="4" s="1"/>
  <c r="D88" i="4"/>
  <c r="L88" i="4" s="1"/>
  <c r="D119" i="4"/>
  <c r="J119" i="4" s="1"/>
  <c r="D103" i="4"/>
  <c r="J103" i="4" s="1"/>
  <c r="D87" i="4"/>
  <c r="E87" i="4" s="1"/>
  <c r="F87" i="4" s="1"/>
  <c r="D198" i="4"/>
  <c r="D182" i="4"/>
  <c r="K182" i="4" s="1"/>
  <c r="D166" i="4"/>
  <c r="J166" i="4" s="1"/>
  <c r="D150" i="4"/>
  <c r="I150" i="4" s="1"/>
  <c r="D134" i="4"/>
  <c r="D118" i="4"/>
  <c r="K118" i="4" s="1"/>
  <c r="D102" i="4"/>
  <c r="I102" i="4" s="1"/>
  <c r="D86" i="4"/>
  <c r="D197" i="4"/>
  <c r="D181" i="4"/>
  <c r="L181" i="4" s="1"/>
  <c r="D165" i="4"/>
  <c r="K165" i="4" s="1"/>
  <c r="D149" i="4"/>
  <c r="L149" i="4" s="1"/>
  <c r="D133" i="4"/>
  <c r="E133" i="4" s="1"/>
  <c r="F133" i="4" s="1"/>
  <c r="D117" i="4"/>
  <c r="E117" i="4" s="1"/>
  <c r="F117" i="4" s="1"/>
  <c r="D101" i="4"/>
  <c r="E101" i="4" s="1"/>
  <c r="D85" i="4"/>
  <c r="D196" i="4"/>
  <c r="D180" i="4"/>
  <c r="E180" i="4" s="1"/>
  <c r="F180" i="4" s="1"/>
  <c r="D164" i="4"/>
  <c r="E164" i="4" s="1"/>
  <c r="F164" i="4" s="1"/>
  <c r="D148" i="4"/>
  <c r="D132" i="4"/>
  <c r="D116" i="4"/>
  <c r="K116" i="4" s="1"/>
  <c r="D100" i="4"/>
  <c r="H100" i="4" s="1"/>
  <c r="D84" i="4"/>
  <c r="I84" i="4" s="1"/>
  <c r="D195" i="4"/>
  <c r="I195" i="4" s="1"/>
  <c r="D179" i="4"/>
  <c r="L179" i="4" s="1"/>
  <c r="D163" i="4"/>
  <c r="I163" i="4" s="1"/>
  <c r="D147" i="4"/>
  <c r="H147" i="4" s="1"/>
  <c r="D131" i="4"/>
  <c r="E131" i="4" s="1"/>
  <c r="F131" i="4" s="1"/>
  <c r="D115" i="4"/>
  <c r="J115" i="4" s="1"/>
  <c r="D99" i="4"/>
  <c r="J99" i="4" s="1"/>
  <c r="D83" i="4"/>
  <c r="D194" i="4"/>
  <c r="J194" i="4" s="1"/>
  <c r="D178" i="4"/>
  <c r="I178" i="4" s="1"/>
  <c r="D162" i="4"/>
  <c r="I162" i="4" s="1"/>
  <c r="D146" i="4"/>
  <c r="J146" i="4" s="1"/>
  <c r="D130" i="4"/>
  <c r="D114" i="4"/>
  <c r="J114" i="4" s="1"/>
  <c r="D98" i="4"/>
  <c r="H98" i="4" s="1"/>
  <c r="D82" i="4"/>
  <c r="J82" i="4" s="1"/>
  <c r="D193" i="4"/>
  <c r="J193" i="4" s="1"/>
  <c r="D177" i="4"/>
  <c r="I177" i="4" s="1"/>
  <c r="D161" i="4"/>
  <c r="J161" i="4" s="1"/>
  <c r="D145" i="4"/>
  <c r="J145" i="4" s="1"/>
  <c r="D129" i="4"/>
  <c r="J129" i="4" s="1"/>
  <c r="D113" i="4"/>
  <c r="J113" i="4" s="1"/>
  <c r="D97" i="4"/>
  <c r="H97" i="4" s="1"/>
  <c r="D81" i="4"/>
  <c r="J81" i="4" s="1"/>
  <c r="D189" i="4"/>
  <c r="K189" i="4" s="1"/>
  <c r="D173" i="4"/>
  <c r="I173" i="4" s="1"/>
  <c r="D157" i="4"/>
  <c r="H157" i="4" s="1"/>
  <c r="D141" i="4"/>
  <c r="J141" i="4" s="1"/>
  <c r="D125" i="4"/>
  <c r="D109" i="4"/>
  <c r="I109" i="4" s="1"/>
  <c r="D93" i="4"/>
  <c r="H93" i="4" s="1"/>
  <c r="D77" i="4"/>
  <c r="K77" i="4" s="1"/>
  <c r="H170" i="4"/>
  <c r="I198" i="4"/>
  <c r="J130" i="4"/>
  <c r="K190" i="4"/>
  <c r="K174" i="4"/>
  <c r="L122" i="4"/>
  <c r="E198" i="4"/>
  <c r="E134" i="4"/>
  <c r="F134" i="4" s="1"/>
  <c r="E86" i="4"/>
  <c r="F86" i="4" s="1"/>
  <c r="H185" i="4"/>
  <c r="H169" i="4"/>
  <c r="H153" i="4"/>
  <c r="H137" i="4"/>
  <c r="H121" i="4"/>
  <c r="H105" i="4"/>
  <c r="H89" i="4"/>
  <c r="I197" i="4"/>
  <c r="I133" i="4"/>
  <c r="I117" i="4"/>
  <c r="I85" i="4"/>
  <c r="K141" i="4"/>
  <c r="K125" i="4"/>
  <c r="L185" i="4"/>
  <c r="L169" i="4"/>
  <c r="L153" i="4"/>
  <c r="L137" i="4"/>
  <c r="L121" i="4"/>
  <c r="L105" i="4"/>
  <c r="L89" i="4"/>
  <c r="H138" i="4"/>
  <c r="I134" i="4"/>
  <c r="L90" i="4"/>
  <c r="E197" i="4"/>
  <c r="E165" i="4"/>
  <c r="F165" i="4" s="1"/>
  <c r="E149" i="4"/>
  <c r="F149" i="4" s="1"/>
  <c r="E85" i="4"/>
  <c r="F85" i="4" s="1"/>
  <c r="H88" i="4"/>
  <c r="I196" i="4"/>
  <c r="I148" i="4"/>
  <c r="I132" i="4"/>
  <c r="I116" i="4"/>
  <c r="J192" i="4"/>
  <c r="J160" i="4"/>
  <c r="J128" i="4"/>
  <c r="J112" i="4"/>
  <c r="J80" i="4"/>
  <c r="K188" i="4"/>
  <c r="K172" i="4"/>
  <c r="K156" i="4"/>
  <c r="K140" i="4"/>
  <c r="K124" i="4"/>
  <c r="K108" i="4"/>
  <c r="K92" i="4"/>
  <c r="K76" i="4"/>
  <c r="L168" i="4"/>
  <c r="L152" i="4"/>
  <c r="L120" i="4"/>
  <c r="L104" i="4"/>
  <c r="E151" i="4"/>
  <c r="F151" i="4" s="1"/>
  <c r="H186" i="4"/>
  <c r="H90" i="4"/>
  <c r="I86" i="4"/>
  <c r="L106" i="4"/>
  <c r="E196" i="4"/>
  <c r="E148" i="4"/>
  <c r="F148" i="4" s="1"/>
  <c r="E132" i="4"/>
  <c r="F132" i="4" s="1"/>
  <c r="E84" i="4"/>
  <c r="F84" i="4" s="1"/>
  <c r="H183" i="4"/>
  <c r="H167" i="4"/>
  <c r="H151" i="4"/>
  <c r="H135" i="4"/>
  <c r="H87" i="4"/>
  <c r="I147" i="4"/>
  <c r="I83" i="4"/>
  <c r="J191" i="4"/>
  <c r="J175" i="4"/>
  <c r="J159" i="4"/>
  <c r="J127" i="4"/>
  <c r="J111" i="4"/>
  <c r="J95" i="4"/>
  <c r="J79" i="4"/>
  <c r="K171" i="4"/>
  <c r="K155" i="4"/>
  <c r="K91" i="4"/>
  <c r="K75" i="4"/>
  <c r="L183" i="4"/>
  <c r="L167" i="4"/>
  <c r="L151" i="4"/>
  <c r="L135" i="4"/>
  <c r="L87" i="4"/>
  <c r="J162" i="4"/>
  <c r="E195" i="4"/>
  <c r="F195" i="4" s="1"/>
  <c r="E147" i="4"/>
  <c r="F147" i="4" s="1"/>
  <c r="E83" i="4"/>
  <c r="H198" i="4"/>
  <c r="H134" i="4"/>
  <c r="H86" i="4"/>
  <c r="I194" i="4"/>
  <c r="I146" i="4"/>
  <c r="I130" i="4"/>
  <c r="I114" i="4"/>
  <c r="I98" i="4"/>
  <c r="I82" i="4"/>
  <c r="J190" i="4"/>
  <c r="J174" i="4"/>
  <c r="J142" i="4"/>
  <c r="J126" i="4"/>
  <c r="J94" i="4"/>
  <c r="J78" i="4"/>
  <c r="K186" i="4"/>
  <c r="K170" i="4"/>
  <c r="K154" i="4"/>
  <c r="K138" i="4"/>
  <c r="K122" i="4"/>
  <c r="K106" i="4"/>
  <c r="K90" i="4"/>
  <c r="L198" i="4"/>
  <c r="L150" i="4"/>
  <c r="L134" i="4"/>
  <c r="L118" i="4"/>
  <c r="L86" i="4"/>
  <c r="L170" i="4"/>
  <c r="E194" i="4"/>
  <c r="F194" i="4" s="1"/>
  <c r="E130" i="4"/>
  <c r="F130" i="4" s="1"/>
  <c r="E82" i="4"/>
  <c r="F82" i="4" s="1"/>
  <c r="H197" i="4"/>
  <c r="H165" i="4"/>
  <c r="H149" i="4"/>
  <c r="H133" i="4"/>
  <c r="H85" i="4"/>
  <c r="I193" i="4"/>
  <c r="I145" i="4"/>
  <c r="I129" i="4"/>
  <c r="I81" i="4"/>
  <c r="J189" i="4"/>
  <c r="J125" i="4"/>
  <c r="J77" i="4"/>
  <c r="K185" i="4"/>
  <c r="K169" i="4"/>
  <c r="K153" i="4"/>
  <c r="K137" i="4"/>
  <c r="K121" i="4"/>
  <c r="K105" i="4"/>
  <c r="K89" i="4"/>
  <c r="L197" i="4"/>
  <c r="L133" i="4"/>
  <c r="L85" i="4"/>
  <c r="K142" i="4"/>
  <c r="E193" i="4"/>
  <c r="F193" i="4" s="1"/>
  <c r="E145" i="4"/>
  <c r="F145" i="4" s="1"/>
  <c r="E81" i="4"/>
  <c r="F81" i="4" s="1"/>
  <c r="H196" i="4"/>
  <c r="H148" i="4"/>
  <c r="H132" i="4"/>
  <c r="H116" i="4"/>
  <c r="H84" i="4"/>
  <c r="I192" i="4"/>
  <c r="I160" i="4"/>
  <c r="I128" i="4"/>
  <c r="I112" i="4"/>
  <c r="I80" i="4"/>
  <c r="J188" i="4"/>
  <c r="J172" i="4"/>
  <c r="J156" i="4"/>
  <c r="J140" i="4"/>
  <c r="J124" i="4"/>
  <c r="J108" i="4"/>
  <c r="J92" i="4"/>
  <c r="J76" i="4"/>
  <c r="K168" i="4"/>
  <c r="K152" i="4"/>
  <c r="K104" i="4"/>
  <c r="K88" i="4"/>
  <c r="L196" i="4"/>
  <c r="L148" i="4"/>
  <c r="L132" i="4"/>
  <c r="L116" i="4"/>
  <c r="L100" i="4"/>
  <c r="L84" i="4"/>
  <c r="K94" i="4"/>
  <c r="E192" i="4"/>
  <c r="F192" i="4" s="1"/>
  <c r="E160" i="4"/>
  <c r="F160" i="4" s="1"/>
  <c r="E128" i="4"/>
  <c r="F128" i="4" s="1"/>
  <c r="E112" i="4"/>
  <c r="F112" i="4" s="1"/>
  <c r="E80" i="4"/>
  <c r="F80" i="4" s="1"/>
  <c r="H195" i="4"/>
  <c r="H163" i="4"/>
  <c r="H131" i="4"/>
  <c r="H83" i="4"/>
  <c r="I191" i="4"/>
  <c r="I175" i="4"/>
  <c r="I159" i="4"/>
  <c r="I127" i="4"/>
  <c r="I111" i="4"/>
  <c r="I95" i="4"/>
  <c r="I79" i="4"/>
  <c r="J171" i="4"/>
  <c r="J155" i="4"/>
  <c r="J139" i="4"/>
  <c r="J107" i="4"/>
  <c r="J91" i="4"/>
  <c r="J75" i="4"/>
  <c r="K183" i="4"/>
  <c r="K167" i="4"/>
  <c r="K151" i="4"/>
  <c r="K135" i="4"/>
  <c r="K87" i="4"/>
  <c r="L195" i="4"/>
  <c r="L147" i="4"/>
  <c r="L131" i="4"/>
  <c r="L83" i="4"/>
  <c r="K78" i="4"/>
  <c r="E191" i="4"/>
  <c r="F191" i="4" s="1"/>
  <c r="E175" i="4"/>
  <c r="F175" i="4" s="1"/>
  <c r="E159" i="4"/>
  <c r="F159" i="4" s="1"/>
  <c r="E127" i="4"/>
  <c r="F127" i="4" s="1"/>
  <c r="E111" i="4"/>
  <c r="F111" i="4" s="1"/>
  <c r="E95" i="4"/>
  <c r="F95" i="4" s="1"/>
  <c r="E79" i="4"/>
  <c r="F79" i="4" s="1"/>
  <c r="H194" i="4"/>
  <c r="H146" i="4"/>
  <c r="H130" i="4"/>
  <c r="H114" i="4"/>
  <c r="H82" i="4"/>
  <c r="I190" i="4"/>
  <c r="I174" i="4"/>
  <c r="I158" i="4"/>
  <c r="I142" i="4"/>
  <c r="I126" i="4"/>
  <c r="I94" i="4"/>
  <c r="I78" i="4"/>
  <c r="J186" i="4"/>
  <c r="J170" i="4"/>
  <c r="J154" i="4"/>
  <c r="J138" i="4"/>
  <c r="J122" i="4"/>
  <c r="J106" i="4"/>
  <c r="J90" i="4"/>
  <c r="K198" i="4"/>
  <c r="K150" i="4"/>
  <c r="K134" i="4"/>
  <c r="K86" i="4"/>
  <c r="L194" i="4"/>
  <c r="L146" i="4"/>
  <c r="L130" i="4"/>
  <c r="L82" i="4"/>
  <c r="E183" i="4"/>
  <c r="F183" i="4" s="1"/>
  <c r="H106" i="4"/>
  <c r="K126" i="4"/>
  <c r="E190" i="4"/>
  <c r="F190" i="4" s="1"/>
  <c r="E174" i="4"/>
  <c r="F174" i="4" s="1"/>
  <c r="E158" i="4"/>
  <c r="F158" i="4" s="1"/>
  <c r="E142" i="4"/>
  <c r="F142" i="4" s="1"/>
  <c r="E126" i="4"/>
  <c r="F126" i="4" s="1"/>
  <c r="E110" i="4"/>
  <c r="F110" i="4" s="1"/>
  <c r="E94" i="4"/>
  <c r="F94" i="4" s="1"/>
  <c r="E78" i="4"/>
  <c r="F78" i="4" s="1"/>
  <c r="H193" i="4"/>
  <c r="H145" i="4"/>
  <c r="H129" i="4"/>
  <c r="H113" i="4"/>
  <c r="H81" i="4"/>
  <c r="I189" i="4"/>
  <c r="I141" i="4"/>
  <c r="I125" i="4"/>
  <c r="I77" i="4"/>
  <c r="J185" i="4"/>
  <c r="J169" i="4"/>
  <c r="J153" i="4"/>
  <c r="J137" i="4"/>
  <c r="J121" i="4"/>
  <c r="J105" i="4"/>
  <c r="J89" i="4"/>
  <c r="K197" i="4"/>
  <c r="K181" i="4"/>
  <c r="K149" i="4"/>
  <c r="K133" i="4"/>
  <c r="K85" i="4"/>
  <c r="L193" i="4"/>
  <c r="L161" i="4"/>
  <c r="L145" i="4"/>
  <c r="L129" i="4"/>
  <c r="L113" i="4"/>
  <c r="L97" i="4"/>
  <c r="L81" i="4"/>
  <c r="E167" i="4"/>
  <c r="H122" i="4"/>
  <c r="L138" i="4"/>
  <c r="E189" i="4"/>
  <c r="F189" i="4" s="1"/>
  <c r="E141" i="4"/>
  <c r="F141" i="4" s="1"/>
  <c r="E125" i="4"/>
  <c r="F125" i="4" s="1"/>
  <c r="E77" i="4"/>
  <c r="F77" i="4" s="1"/>
  <c r="H192" i="4"/>
  <c r="H160" i="4"/>
  <c r="H128" i="4"/>
  <c r="H112" i="4"/>
  <c r="I188" i="4"/>
  <c r="I172" i="4"/>
  <c r="I156" i="4"/>
  <c r="I140" i="4"/>
  <c r="I124" i="4"/>
  <c r="I108" i="4"/>
  <c r="I92" i="4"/>
  <c r="I76" i="4"/>
  <c r="J168" i="4"/>
  <c r="J152" i="4"/>
  <c r="J104" i="4"/>
  <c r="J88" i="4"/>
  <c r="K196" i="4"/>
  <c r="K148" i="4"/>
  <c r="K132" i="4"/>
  <c r="K84" i="4"/>
  <c r="L192" i="4"/>
  <c r="L160" i="4"/>
  <c r="L128" i="4"/>
  <c r="L112" i="4"/>
  <c r="L96" i="4"/>
  <c r="E135" i="4"/>
  <c r="F135" i="4" s="1"/>
  <c r="H154" i="4"/>
  <c r="K158" i="4"/>
  <c r="E188" i="4"/>
  <c r="F188" i="4" s="1"/>
  <c r="E172" i="4"/>
  <c r="F172" i="4" s="1"/>
  <c r="E156" i="4"/>
  <c r="F156" i="4" s="1"/>
  <c r="E140" i="4"/>
  <c r="F140" i="4" s="1"/>
  <c r="E124" i="4"/>
  <c r="F124" i="4" s="1"/>
  <c r="E108" i="4"/>
  <c r="F108" i="4" s="1"/>
  <c r="E92" i="4"/>
  <c r="F92" i="4" s="1"/>
  <c r="E76" i="4"/>
  <c r="F76" i="4" s="1"/>
  <c r="H191" i="4"/>
  <c r="H175" i="4"/>
  <c r="H159" i="4"/>
  <c r="H127" i="4"/>
  <c r="H111" i="4"/>
  <c r="H95" i="4"/>
  <c r="H79" i="4"/>
  <c r="I171" i="4"/>
  <c r="I155" i="4"/>
  <c r="I107" i="4"/>
  <c r="I91" i="4"/>
  <c r="I75" i="4"/>
  <c r="J183" i="4"/>
  <c r="J167" i="4"/>
  <c r="J151" i="4"/>
  <c r="J135" i="4"/>
  <c r="J87" i="4"/>
  <c r="K195" i="4"/>
  <c r="K147" i="4"/>
  <c r="K131" i="4"/>
  <c r="K115" i="4"/>
  <c r="K83" i="4"/>
  <c r="L191" i="4"/>
  <c r="L175" i="4"/>
  <c r="L159" i="4"/>
  <c r="L127" i="4"/>
  <c r="L111" i="4"/>
  <c r="L95" i="4"/>
  <c r="L79" i="4"/>
  <c r="E171" i="4"/>
  <c r="F171" i="4" s="1"/>
  <c r="E155" i="4"/>
  <c r="F155" i="4" s="1"/>
  <c r="E107" i="4"/>
  <c r="F107" i="4" s="1"/>
  <c r="E91" i="4"/>
  <c r="F91" i="4" s="1"/>
  <c r="E75" i="4"/>
  <c r="F75" i="4" s="1"/>
  <c r="H190" i="4"/>
  <c r="H174" i="4"/>
  <c r="H158" i="4"/>
  <c r="H142" i="4"/>
  <c r="H126" i="4"/>
  <c r="H94" i="4"/>
  <c r="H78" i="4"/>
  <c r="I186" i="4"/>
  <c r="I170" i="4"/>
  <c r="I154" i="4"/>
  <c r="I138" i="4"/>
  <c r="I122" i="4"/>
  <c r="I106" i="4"/>
  <c r="I90" i="4"/>
  <c r="J198" i="4"/>
  <c r="J182" i="4"/>
  <c r="J150" i="4"/>
  <c r="J134" i="4"/>
  <c r="J86" i="4"/>
  <c r="K194" i="4"/>
  <c r="K146" i="4"/>
  <c r="K130" i="4"/>
  <c r="K114" i="4"/>
  <c r="K98" i="4"/>
  <c r="K82" i="4"/>
  <c r="L190" i="4"/>
  <c r="L174" i="4"/>
  <c r="L158" i="4"/>
  <c r="L142" i="4"/>
  <c r="L126" i="4"/>
  <c r="L94" i="4"/>
  <c r="L78" i="4"/>
  <c r="L154" i="4"/>
  <c r="E186" i="4"/>
  <c r="F186" i="4" s="1"/>
  <c r="E170" i="4"/>
  <c r="F170" i="4" s="1"/>
  <c r="E154" i="4"/>
  <c r="F154" i="4" s="1"/>
  <c r="E138" i="4"/>
  <c r="F138" i="4" s="1"/>
  <c r="E122" i="4"/>
  <c r="F122" i="4" s="1"/>
  <c r="E106" i="4"/>
  <c r="G106" i="4" s="1"/>
  <c r="E90" i="4"/>
  <c r="F90" i="4" s="1"/>
  <c r="H189" i="4"/>
  <c r="H141" i="4"/>
  <c r="H125" i="4"/>
  <c r="H77" i="4"/>
  <c r="I185" i="4"/>
  <c r="I169" i="4"/>
  <c r="I153" i="4"/>
  <c r="I137" i="4"/>
  <c r="I121" i="4"/>
  <c r="I105" i="4"/>
  <c r="I89" i="4"/>
  <c r="J197" i="4"/>
  <c r="J181" i="4"/>
  <c r="J165" i="4"/>
  <c r="J149" i="4"/>
  <c r="J133" i="4"/>
  <c r="J85" i="4"/>
  <c r="K193" i="4"/>
  <c r="K177" i="4"/>
  <c r="K161" i="4"/>
  <c r="K145" i="4"/>
  <c r="K129" i="4"/>
  <c r="K113" i="4"/>
  <c r="K97" i="4"/>
  <c r="K81" i="4"/>
  <c r="L189" i="4"/>
  <c r="L173" i="4"/>
  <c r="L157" i="4"/>
  <c r="L141" i="4"/>
  <c r="L125" i="4"/>
  <c r="L77" i="4"/>
  <c r="L186" i="4"/>
  <c r="E185" i="4"/>
  <c r="F185" i="4" s="1"/>
  <c r="E169" i="4"/>
  <c r="F169" i="4" s="1"/>
  <c r="E153" i="4"/>
  <c r="F153" i="4" s="1"/>
  <c r="E137" i="4"/>
  <c r="F137" i="4" s="1"/>
  <c r="E121" i="4"/>
  <c r="F121" i="4" s="1"/>
  <c r="E105" i="4"/>
  <c r="E89" i="4"/>
  <c r="F89" i="4" s="1"/>
  <c r="H188" i="4"/>
  <c r="H172" i="4"/>
  <c r="H156" i="4"/>
  <c r="H140" i="4"/>
  <c r="H124" i="4"/>
  <c r="H108" i="4"/>
  <c r="H92" i="4"/>
  <c r="H76" i="4"/>
  <c r="I168" i="4"/>
  <c r="I152" i="4"/>
  <c r="I120" i="4"/>
  <c r="I104" i="4"/>
  <c r="I88" i="4"/>
  <c r="J196" i="4"/>
  <c r="J180" i="4"/>
  <c r="J164" i="4"/>
  <c r="J148" i="4"/>
  <c r="J132" i="4"/>
  <c r="J84" i="4"/>
  <c r="K192" i="4"/>
  <c r="K160" i="4"/>
  <c r="K128" i="4"/>
  <c r="K112" i="4"/>
  <c r="L188" i="4"/>
  <c r="L172" i="4"/>
  <c r="L156" i="4"/>
  <c r="L140" i="4"/>
  <c r="L124" i="4"/>
  <c r="L108" i="4"/>
  <c r="L92" i="4"/>
  <c r="L76" i="4"/>
  <c r="E168" i="4"/>
  <c r="F168" i="4" s="1"/>
  <c r="E152" i="4"/>
  <c r="F152" i="4" s="1"/>
  <c r="E136" i="4"/>
  <c r="F136" i="4" s="1"/>
  <c r="E120" i="4"/>
  <c r="F120" i="4" s="1"/>
  <c r="E104" i="4"/>
  <c r="E88" i="4"/>
  <c r="F88" i="4" s="1"/>
  <c r="H171" i="4"/>
  <c r="H155" i="4"/>
  <c r="H107" i="4"/>
  <c r="H91" i="4"/>
  <c r="H75" i="4"/>
  <c r="I183" i="4"/>
  <c r="I167" i="4"/>
  <c r="I151" i="4"/>
  <c r="I135" i="4"/>
  <c r="I87" i="4"/>
  <c r="J195" i="4"/>
  <c r="J163" i="4"/>
  <c r="J147" i="4"/>
  <c r="J131" i="4"/>
  <c r="J83" i="4"/>
  <c r="K191" i="4"/>
  <c r="K175" i="4"/>
  <c r="K159" i="4"/>
  <c r="K127" i="4"/>
  <c r="K111" i="4"/>
  <c r="K95" i="4"/>
  <c r="K79" i="4"/>
  <c r="L171" i="4"/>
  <c r="L155" i="4"/>
  <c r="L139" i="4"/>
  <c r="L107" i="4"/>
  <c r="L91" i="4"/>
  <c r="M105" i="9" l="1"/>
  <c r="T105" i="9" s="1"/>
  <c r="M83" i="9"/>
  <c r="Z83" i="9" s="1"/>
  <c r="M197" i="9"/>
  <c r="U197" i="9" s="1"/>
  <c r="M130" i="9"/>
  <c r="Z130" i="9" s="1"/>
  <c r="Y83" i="9"/>
  <c r="T197" i="9"/>
  <c r="Y105" i="9"/>
  <c r="M125" i="9"/>
  <c r="V125" i="9" s="1"/>
  <c r="M141" i="9"/>
  <c r="W141" i="9" s="1"/>
  <c r="M151" i="9"/>
  <c r="Z151" i="9" s="1"/>
  <c r="M128" i="9"/>
  <c r="W128" i="9" s="1"/>
  <c r="M166" i="9"/>
  <c r="Z166" i="9" s="1"/>
  <c r="M126" i="9"/>
  <c r="W126" i="9" s="1"/>
  <c r="M96" i="9"/>
  <c r="AA96" i="9" s="1"/>
  <c r="M163" i="9"/>
  <c r="Z163" i="9" s="1"/>
  <c r="F104" i="9"/>
  <c r="M181" i="9"/>
  <c r="T181" i="9" s="1"/>
  <c r="M120" i="9"/>
  <c r="W120" i="9" s="1"/>
  <c r="Z105" i="9"/>
  <c r="M113" i="9"/>
  <c r="V113" i="9" s="1"/>
  <c r="M198" i="9"/>
  <c r="R198" i="9" s="1"/>
  <c r="V105" i="9"/>
  <c r="M119" i="9"/>
  <c r="T119" i="9" s="1"/>
  <c r="L171" i="9"/>
  <c r="K171" i="9"/>
  <c r="J171" i="9"/>
  <c r="E171" i="9"/>
  <c r="F171" i="9" s="1"/>
  <c r="I169" i="9"/>
  <c r="L169" i="9"/>
  <c r="K169" i="9"/>
  <c r="E115" i="9"/>
  <c r="F115" i="9" s="1"/>
  <c r="H115" i="9"/>
  <c r="K115" i="9"/>
  <c r="L115" i="9"/>
  <c r="I115" i="9"/>
  <c r="E77" i="9"/>
  <c r="F77" i="9" s="1"/>
  <c r="L77" i="9"/>
  <c r="I77" i="9"/>
  <c r="J77" i="9"/>
  <c r="H77" i="9"/>
  <c r="K77" i="9"/>
  <c r="H184" i="9"/>
  <c r="L184" i="9"/>
  <c r="K184" i="9"/>
  <c r="J184" i="9"/>
  <c r="H160" i="9"/>
  <c r="E160" i="9"/>
  <c r="F160" i="9" s="1"/>
  <c r="L160" i="9"/>
  <c r="K160" i="9"/>
  <c r="J160" i="9"/>
  <c r="E102" i="9"/>
  <c r="K102" i="9"/>
  <c r="I102" i="9"/>
  <c r="H102" i="9"/>
  <c r="J102" i="9"/>
  <c r="L102" i="9"/>
  <c r="K177" i="9"/>
  <c r="I177" i="9"/>
  <c r="H177" i="9"/>
  <c r="E177" i="9"/>
  <c r="F177" i="9" s="1"/>
  <c r="E184" i="9"/>
  <c r="F184" i="9" s="1"/>
  <c r="I195" i="9"/>
  <c r="L177" i="9"/>
  <c r="M156" i="9"/>
  <c r="N156" i="9" s="1"/>
  <c r="L157" i="9"/>
  <c r="E157" i="9"/>
  <c r="F157" i="9" s="1"/>
  <c r="I157" i="9"/>
  <c r="K157" i="9"/>
  <c r="E146" i="9"/>
  <c r="F146" i="9" s="1"/>
  <c r="J146" i="9"/>
  <c r="L146" i="9"/>
  <c r="H146" i="9"/>
  <c r="K192" i="9"/>
  <c r="J192" i="9"/>
  <c r="H192" i="9"/>
  <c r="M82" i="9"/>
  <c r="N82" i="9" s="1"/>
  <c r="M87" i="9"/>
  <c r="N87" i="9" s="1"/>
  <c r="G100" i="9"/>
  <c r="F100" i="9"/>
  <c r="I184" i="9"/>
  <c r="V181" i="9"/>
  <c r="U181" i="9"/>
  <c r="Z181" i="9"/>
  <c r="E192" i="9"/>
  <c r="F192" i="9" s="1"/>
  <c r="H132" i="9"/>
  <c r="I132" i="9"/>
  <c r="L132" i="9"/>
  <c r="K132" i="9"/>
  <c r="J132" i="9"/>
  <c r="L174" i="9"/>
  <c r="K174" i="9"/>
  <c r="J174" i="9"/>
  <c r="H174" i="9"/>
  <c r="I174" i="9"/>
  <c r="H195" i="9"/>
  <c r="Y181" i="9"/>
  <c r="F126" i="9"/>
  <c r="K183" i="9"/>
  <c r="E183" i="9"/>
  <c r="F183" i="9" s="1"/>
  <c r="X181" i="9"/>
  <c r="W113" i="9"/>
  <c r="X113" i="9"/>
  <c r="M86" i="9"/>
  <c r="N86" i="9" s="1"/>
  <c r="I176" i="9"/>
  <c r="E176" i="9"/>
  <c r="F176" i="9" s="1"/>
  <c r="H176" i="9"/>
  <c r="J176" i="9"/>
  <c r="J195" i="9"/>
  <c r="E195" i="9"/>
  <c r="F195" i="9" s="1"/>
  <c r="E153" i="9"/>
  <c r="F153" i="9" s="1"/>
  <c r="I153" i="9"/>
  <c r="K153" i="9"/>
  <c r="I192" i="9"/>
  <c r="I81" i="9"/>
  <c r="K81" i="9"/>
  <c r="J81" i="9"/>
  <c r="L81" i="9"/>
  <c r="E81" i="9"/>
  <c r="F81" i="9" s="1"/>
  <c r="H81" i="9"/>
  <c r="M122" i="9"/>
  <c r="N122" i="9" s="1"/>
  <c r="R197" i="9"/>
  <c r="X197" i="9"/>
  <c r="W197" i="9"/>
  <c r="K135" i="9"/>
  <c r="E135" i="9"/>
  <c r="F135" i="9" s="1"/>
  <c r="J135" i="9"/>
  <c r="I135" i="9"/>
  <c r="H135" i="9"/>
  <c r="L135" i="9"/>
  <c r="K176" i="9"/>
  <c r="I171" i="9"/>
  <c r="I158" i="9"/>
  <c r="K158" i="9"/>
  <c r="L158" i="9"/>
  <c r="J158" i="9"/>
  <c r="H158" i="9"/>
  <c r="Q197" i="9"/>
  <c r="N197" i="9"/>
  <c r="K195" i="9"/>
  <c r="L193" i="9"/>
  <c r="K193" i="9"/>
  <c r="I179" i="9"/>
  <c r="J179" i="9"/>
  <c r="E132" i="9"/>
  <c r="F132" i="9" s="1"/>
  <c r="L189" i="9"/>
  <c r="M189" i="9" s="1"/>
  <c r="I160" i="9"/>
  <c r="I183" i="9"/>
  <c r="M145" i="9"/>
  <c r="N145" i="9" s="1"/>
  <c r="M167" i="9"/>
  <c r="M144" i="9"/>
  <c r="N144" i="9" s="1"/>
  <c r="I193" i="9"/>
  <c r="E193" i="9"/>
  <c r="F193" i="9" s="1"/>
  <c r="J193" i="9"/>
  <c r="Q198" i="9"/>
  <c r="N198" i="9"/>
  <c r="I161" i="9"/>
  <c r="K161" i="9"/>
  <c r="J161" i="9"/>
  <c r="J173" i="9"/>
  <c r="I173" i="9"/>
  <c r="L173" i="9"/>
  <c r="K173" i="9"/>
  <c r="H157" i="9"/>
  <c r="L183" i="9"/>
  <c r="I168" i="9"/>
  <c r="J168" i="9"/>
  <c r="E168" i="9"/>
  <c r="F168" i="9" s="1"/>
  <c r="H161" i="9"/>
  <c r="AA120" i="9"/>
  <c r="F75" i="9"/>
  <c r="K146" i="9"/>
  <c r="M186" i="9"/>
  <c r="J190" i="9"/>
  <c r="I190" i="9"/>
  <c r="H190" i="9"/>
  <c r="K190" i="9"/>
  <c r="L190" i="9"/>
  <c r="J187" i="9"/>
  <c r="K187" i="9"/>
  <c r="H187" i="9"/>
  <c r="L187" i="9"/>
  <c r="M185" i="9"/>
  <c r="I182" i="9"/>
  <c r="L182" i="9"/>
  <c r="E189" i="9"/>
  <c r="F189" i="9" s="1"/>
  <c r="J157" i="9"/>
  <c r="F101" i="9"/>
  <c r="H182" i="9"/>
  <c r="M182" i="9" s="1"/>
  <c r="N182" i="9" s="1"/>
  <c r="J177" i="9"/>
  <c r="G103" i="9"/>
  <c r="F103" i="9"/>
  <c r="M194" i="9"/>
  <c r="J169" i="9"/>
  <c r="H171" i="9"/>
  <c r="H169" i="9"/>
  <c r="M170" i="9"/>
  <c r="N170" i="9" s="1"/>
  <c r="M155" i="9"/>
  <c r="M110" i="9"/>
  <c r="N110" i="9" s="1"/>
  <c r="M124" i="9"/>
  <c r="N124" i="9" s="1"/>
  <c r="M154" i="9"/>
  <c r="M196" i="9"/>
  <c r="M109" i="9"/>
  <c r="N109" i="9" s="1"/>
  <c r="M134" i="9"/>
  <c r="K131" i="9"/>
  <c r="M92" i="9"/>
  <c r="L75" i="9"/>
  <c r="N105" i="9"/>
  <c r="M78" i="9"/>
  <c r="M191" i="9"/>
  <c r="AA130" i="9"/>
  <c r="M106" i="9"/>
  <c r="K129" i="9"/>
  <c r="E116" i="9"/>
  <c r="F116" i="9" s="1"/>
  <c r="M85" i="9"/>
  <c r="N85" i="9" s="1"/>
  <c r="L129" i="9"/>
  <c r="N120" i="9"/>
  <c r="U83" i="9"/>
  <c r="M143" i="9"/>
  <c r="N143" i="9" s="1"/>
  <c r="W105" i="9"/>
  <c r="J75" i="9"/>
  <c r="J147" i="9"/>
  <c r="M147" i="9" s="1"/>
  <c r="M103" i="9"/>
  <c r="L95" i="9"/>
  <c r="J129" i="9"/>
  <c r="I111" i="9"/>
  <c r="J121" i="9"/>
  <c r="M133" i="9"/>
  <c r="AA105" i="9"/>
  <c r="M114" i="9"/>
  <c r="U105" i="9"/>
  <c r="N130" i="9"/>
  <c r="M142" i="9"/>
  <c r="M159" i="9"/>
  <c r="N159" i="9" s="1"/>
  <c r="M188" i="9"/>
  <c r="M127" i="9"/>
  <c r="N127" i="9" s="1"/>
  <c r="E89" i="9"/>
  <c r="F89" i="9" s="1"/>
  <c r="I100" i="9"/>
  <c r="M80" i="9"/>
  <c r="K94" i="9"/>
  <c r="M108" i="9"/>
  <c r="N108" i="9" s="1"/>
  <c r="K121" i="9"/>
  <c r="M123" i="9"/>
  <c r="N123" i="9" s="1"/>
  <c r="X105" i="9"/>
  <c r="I88" i="9"/>
  <c r="M104" i="9"/>
  <c r="M98" i="9"/>
  <c r="N98" i="9" s="1"/>
  <c r="M162" i="9"/>
  <c r="N162" i="9" s="1"/>
  <c r="J101" i="9"/>
  <c r="M101" i="9" s="1"/>
  <c r="AA83" i="9"/>
  <c r="J131" i="9"/>
  <c r="E139" i="9"/>
  <c r="F139" i="9" s="1"/>
  <c r="V83" i="9"/>
  <c r="M149" i="9"/>
  <c r="N149" i="9" s="1"/>
  <c r="M136" i="9"/>
  <c r="N136" i="9" s="1"/>
  <c r="M84" i="9"/>
  <c r="M172" i="9"/>
  <c r="N172" i="9" s="1"/>
  <c r="M178" i="9"/>
  <c r="N178" i="9" s="1"/>
  <c r="H100" i="9"/>
  <c r="I116" i="9"/>
  <c r="E95" i="9"/>
  <c r="I139" i="9"/>
  <c r="L121" i="9"/>
  <c r="T130" i="9"/>
  <c r="K100" i="9"/>
  <c r="J95" i="9"/>
  <c r="M90" i="9"/>
  <c r="N90" i="9" s="1"/>
  <c r="L94" i="9"/>
  <c r="H116" i="9"/>
  <c r="I129" i="9"/>
  <c r="E129" i="9"/>
  <c r="F129" i="9" s="1"/>
  <c r="E165" i="9"/>
  <c r="F165" i="9" s="1"/>
  <c r="M89" i="9"/>
  <c r="M93" i="9"/>
  <c r="M137" i="9"/>
  <c r="N137" i="9" s="1"/>
  <c r="U130" i="9"/>
  <c r="M140" i="9"/>
  <c r="N140" i="9" s="1"/>
  <c r="I95" i="9"/>
  <c r="K116" i="9"/>
  <c r="K88" i="9"/>
  <c r="T83" i="9"/>
  <c r="M180" i="9"/>
  <c r="N180" i="9" s="1"/>
  <c r="K99" i="9"/>
  <c r="W83" i="9"/>
  <c r="I99" i="9"/>
  <c r="L79" i="9"/>
  <c r="M79" i="9" s="1"/>
  <c r="N79" i="9" s="1"/>
  <c r="M175" i="9"/>
  <c r="N175" i="9" s="1"/>
  <c r="W130" i="9"/>
  <c r="H88" i="9"/>
  <c r="N83" i="9"/>
  <c r="I150" i="9"/>
  <c r="K152" i="9"/>
  <c r="M152" i="9" s="1"/>
  <c r="I165" i="9"/>
  <c r="J99" i="9"/>
  <c r="C16" i="9"/>
  <c r="C15" i="9"/>
  <c r="F8" i="9"/>
  <c r="F16" i="9"/>
  <c r="Q196" i="9"/>
  <c r="M91" i="9"/>
  <c r="N91" i="9" s="1"/>
  <c r="M76" i="9"/>
  <c r="N76" i="9" s="1"/>
  <c r="J139" i="9"/>
  <c r="J150" i="9"/>
  <c r="J165" i="9"/>
  <c r="M148" i="9"/>
  <c r="Y130" i="9"/>
  <c r="M112" i="9"/>
  <c r="M118" i="9"/>
  <c r="K111" i="9"/>
  <c r="J117" i="9"/>
  <c r="J111" i="9"/>
  <c r="I94" i="9"/>
  <c r="L111" i="9"/>
  <c r="H75" i="9"/>
  <c r="M138" i="9"/>
  <c r="N138" i="9" s="1"/>
  <c r="M164" i="9"/>
  <c r="N164" i="9" s="1"/>
  <c r="M107" i="9"/>
  <c r="N107" i="9" s="1"/>
  <c r="K117" i="9"/>
  <c r="J88" i="9"/>
  <c r="M97" i="9"/>
  <c r="J94" i="9"/>
  <c r="E184" i="4"/>
  <c r="F184" i="4" s="1"/>
  <c r="K93" i="4"/>
  <c r="J100" i="4"/>
  <c r="L109" i="4"/>
  <c r="H173" i="4"/>
  <c r="E109" i="4"/>
  <c r="F109" i="4" s="1"/>
  <c r="E179" i="4"/>
  <c r="F179" i="4" s="1"/>
  <c r="E100" i="4"/>
  <c r="J176" i="4"/>
  <c r="K109" i="4"/>
  <c r="L93" i="4"/>
  <c r="L144" i="4"/>
  <c r="E93" i="4"/>
  <c r="F93" i="4" s="1"/>
  <c r="J116" i="4"/>
  <c r="L176" i="4"/>
  <c r="J143" i="4"/>
  <c r="E116" i="4"/>
  <c r="F116" i="4" s="1"/>
  <c r="L184" i="4"/>
  <c r="E181" i="4"/>
  <c r="F181" i="4" s="1"/>
  <c r="K100" i="4"/>
  <c r="L98" i="4"/>
  <c r="E129" i="4"/>
  <c r="F129" i="4" s="1"/>
  <c r="H181" i="4"/>
  <c r="E118" i="4"/>
  <c r="F118" i="4" s="1"/>
  <c r="L143" i="4"/>
  <c r="I118" i="4"/>
  <c r="L114" i="4"/>
  <c r="H177" i="4"/>
  <c r="H179" i="4"/>
  <c r="I96" i="4"/>
  <c r="E177" i="4"/>
  <c r="F177" i="4" s="1"/>
  <c r="J93" i="4"/>
  <c r="I131" i="4"/>
  <c r="J98" i="4"/>
  <c r="E150" i="4"/>
  <c r="F150" i="4" s="1"/>
  <c r="J109" i="4"/>
  <c r="K143" i="4"/>
  <c r="K96" i="4"/>
  <c r="J102" i="4"/>
  <c r="E114" i="4"/>
  <c r="F114" i="4" s="1"/>
  <c r="H102" i="4"/>
  <c r="I179" i="4"/>
  <c r="I149" i="4"/>
  <c r="F106" i="4"/>
  <c r="I100" i="4"/>
  <c r="H96" i="4"/>
  <c r="J118" i="4"/>
  <c r="E96" i="4"/>
  <c r="F96" i="4" s="1"/>
  <c r="K136" i="4"/>
  <c r="I144" i="4"/>
  <c r="H118" i="4"/>
  <c r="H136" i="4"/>
  <c r="I181" i="4"/>
  <c r="E102" i="4"/>
  <c r="G102" i="4" s="1"/>
  <c r="I136" i="4"/>
  <c r="H144" i="4"/>
  <c r="K102" i="4"/>
  <c r="E146" i="4"/>
  <c r="F146" i="4" s="1"/>
  <c r="J177" i="4"/>
  <c r="E98" i="4"/>
  <c r="K144" i="4"/>
  <c r="J136" i="4"/>
  <c r="I176" i="4"/>
  <c r="H150" i="4"/>
  <c r="H176" i="4"/>
  <c r="E144" i="4"/>
  <c r="F144" i="4" s="1"/>
  <c r="K184" i="4"/>
  <c r="H184" i="4"/>
  <c r="I93" i="4"/>
  <c r="J179" i="4"/>
  <c r="K176" i="4"/>
  <c r="I184" i="4"/>
  <c r="H109" i="4"/>
  <c r="K179" i="4"/>
  <c r="H143" i="4"/>
  <c r="L177" i="4"/>
  <c r="L102" i="4"/>
  <c r="F101" i="4"/>
  <c r="G101" i="4"/>
  <c r="L99" i="4"/>
  <c r="H115" i="4"/>
  <c r="L101" i="4"/>
  <c r="H117" i="4"/>
  <c r="J110" i="4"/>
  <c r="L103" i="4"/>
  <c r="H119" i="4"/>
  <c r="I166" i="4"/>
  <c r="I164" i="4"/>
  <c r="H99" i="4"/>
  <c r="H101" i="4"/>
  <c r="H103" i="4"/>
  <c r="H187" i="4"/>
  <c r="L187" i="4"/>
  <c r="K80" i="4"/>
  <c r="G105" i="4"/>
  <c r="F105" i="4"/>
  <c r="K99" i="4"/>
  <c r="H161" i="4"/>
  <c r="L115" i="4"/>
  <c r="J123" i="4"/>
  <c r="L117" i="4"/>
  <c r="L119" i="4"/>
  <c r="I180" i="4"/>
  <c r="I101" i="4"/>
  <c r="E119" i="4"/>
  <c r="F119" i="4" s="1"/>
  <c r="H166" i="4"/>
  <c r="I119" i="4"/>
  <c r="L162" i="4"/>
  <c r="H178" i="4"/>
  <c r="L163" i="4"/>
  <c r="L164" i="4"/>
  <c r="H180" i="4"/>
  <c r="L165" i="4"/>
  <c r="J173" i="4"/>
  <c r="L166" i="4"/>
  <c r="H182" i="4"/>
  <c r="E166" i="4"/>
  <c r="F166" i="4" s="1"/>
  <c r="H164" i="4"/>
  <c r="K162" i="4"/>
  <c r="K163" i="4"/>
  <c r="L178" i="4"/>
  <c r="J187" i="4"/>
  <c r="L180" i="4"/>
  <c r="L182" i="4"/>
  <c r="H120" i="4"/>
  <c r="K157" i="4"/>
  <c r="I165" i="4"/>
  <c r="E182" i="4"/>
  <c r="F182" i="4" s="1"/>
  <c r="E123" i="4"/>
  <c r="F123" i="4" s="1"/>
  <c r="K178" i="4"/>
  <c r="K101" i="4"/>
  <c r="J178" i="4"/>
  <c r="K164" i="4"/>
  <c r="E173" i="4"/>
  <c r="F173" i="4" s="1"/>
  <c r="K117" i="4"/>
  <c r="E97" i="4"/>
  <c r="I97" i="4"/>
  <c r="E99" i="4"/>
  <c r="I99" i="4"/>
  <c r="D12" i="2"/>
  <c r="G95" i="4"/>
  <c r="F102" i="4"/>
  <c r="I123" i="4"/>
  <c r="J157" i="4"/>
  <c r="E187" i="4"/>
  <c r="F187" i="4" s="1"/>
  <c r="I182" i="4"/>
  <c r="K110" i="4"/>
  <c r="E103" i="4"/>
  <c r="K180" i="4"/>
  <c r="I110" i="4"/>
  <c r="K103" i="4"/>
  <c r="E113" i="4"/>
  <c r="F113" i="4" s="1"/>
  <c r="I113" i="4"/>
  <c r="E115" i="4"/>
  <c r="F115" i="4" s="1"/>
  <c r="I115" i="4"/>
  <c r="I103" i="4"/>
  <c r="H162" i="4"/>
  <c r="K173" i="4"/>
  <c r="H110" i="4"/>
  <c r="H80" i="4"/>
  <c r="I157" i="4"/>
  <c r="K119" i="4"/>
  <c r="K120" i="4"/>
  <c r="K123" i="4"/>
  <c r="J97" i="4"/>
  <c r="D2" i="2"/>
  <c r="D9" i="2"/>
  <c r="F104" i="4"/>
  <c r="G104" i="4"/>
  <c r="I139" i="4"/>
  <c r="I187" i="4"/>
  <c r="E157" i="4"/>
  <c r="F157" i="4" s="1"/>
  <c r="J101" i="4"/>
  <c r="E143" i="4"/>
  <c r="F143" i="4" s="1"/>
  <c r="K139" i="4"/>
  <c r="J117" i="4"/>
  <c r="E161" i="4"/>
  <c r="F161" i="4" s="1"/>
  <c r="I161" i="4"/>
  <c r="E162" i="4"/>
  <c r="F162" i="4" s="1"/>
  <c r="E163" i="4"/>
  <c r="F163" i="4" s="1"/>
  <c r="E139" i="4"/>
  <c r="F139" i="4" s="1"/>
  <c r="H123" i="4"/>
  <c r="K166" i="4"/>
  <c r="E178" i="4"/>
  <c r="F178" i="4" s="1"/>
  <c r="D8" i="2"/>
  <c r="D5" i="2"/>
  <c r="D3" i="2"/>
  <c r="D10" i="2"/>
  <c r="D4" i="2"/>
  <c r="D11" i="2"/>
  <c r="D6" i="2"/>
  <c r="D7" i="2"/>
  <c r="C13" i="4"/>
  <c r="I24" i="4"/>
  <c r="H24" i="4"/>
  <c r="G24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C68" i="4"/>
  <c r="G32" i="4"/>
  <c r="G13" i="4"/>
  <c r="M183" i="9" l="1"/>
  <c r="M131" i="9"/>
  <c r="X198" i="9"/>
  <c r="M168" i="9"/>
  <c r="X168" i="9" s="1"/>
  <c r="Z119" i="9"/>
  <c r="T198" i="9"/>
  <c r="Z197" i="9"/>
  <c r="Z198" i="9"/>
  <c r="Y197" i="9"/>
  <c r="N113" i="9"/>
  <c r="X120" i="9"/>
  <c r="T120" i="9"/>
  <c r="AA197" i="9"/>
  <c r="U120" i="9"/>
  <c r="W198" i="9"/>
  <c r="V120" i="9"/>
  <c r="M121" i="9"/>
  <c r="AA121" i="9" s="1"/>
  <c r="M153" i="9"/>
  <c r="W153" i="9" s="1"/>
  <c r="M117" i="9"/>
  <c r="T117" i="9" s="1"/>
  <c r="Z125" i="9"/>
  <c r="N181" i="9"/>
  <c r="X128" i="9"/>
  <c r="T151" i="9"/>
  <c r="X151" i="9"/>
  <c r="N119" i="9"/>
  <c r="T113" i="9"/>
  <c r="Y128" i="9"/>
  <c r="M94" i="9"/>
  <c r="AA94" i="9" s="1"/>
  <c r="Z128" i="9"/>
  <c r="AA141" i="9"/>
  <c r="M165" i="9"/>
  <c r="V165" i="9" s="1"/>
  <c r="N141" i="9"/>
  <c r="V163" i="9"/>
  <c r="AA113" i="9"/>
  <c r="M139" i="9"/>
  <c r="X139" i="9" s="1"/>
  <c r="M150" i="9"/>
  <c r="N150" i="9" s="1"/>
  <c r="V197" i="9"/>
  <c r="Y113" i="9"/>
  <c r="T128" i="9"/>
  <c r="M157" i="9"/>
  <c r="T141" i="9"/>
  <c r="N151" i="9"/>
  <c r="Z141" i="9"/>
  <c r="AA163" i="9"/>
  <c r="X141" i="9"/>
  <c r="Y163" i="9"/>
  <c r="V166" i="9"/>
  <c r="U163" i="9"/>
  <c r="Y141" i="9"/>
  <c r="T163" i="9"/>
  <c r="W166" i="9"/>
  <c r="U166" i="9"/>
  <c r="U198" i="9"/>
  <c r="AA198" i="9"/>
  <c r="X83" i="9"/>
  <c r="Q188" i="9"/>
  <c r="Q104" i="9"/>
  <c r="N125" i="9"/>
  <c r="AA128" i="9"/>
  <c r="N96" i="9"/>
  <c r="Z96" i="9"/>
  <c r="T126" i="9"/>
  <c r="X125" i="9"/>
  <c r="T125" i="9"/>
  <c r="X96" i="9"/>
  <c r="AA126" i="9"/>
  <c r="V126" i="9"/>
  <c r="X126" i="9"/>
  <c r="U125" i="9"/>
  <c r="T96" i="9"/>
  <c r="M179" i="9"/>
  <c r="U179" i="9" s="1"/>
  <c r="U126" i="9"/>
  <c r="V96" i="9"/>
  <c r="W151" i="9"/>
  <c r="Z126" i="9"/>
  <c r="U128" i="9"/>
  <c r="U113" i="9"/>
  <c r="Y96" i="9"/>
  <c r="Y151" i="9"/>
  <c r="V119" i="9"/>
  <c r="Z113" i="9"/>
  <c r="Q138" i="9"/>
  <c r="V198" i="9"/>
  <c r="AA119" i="9"/>
  <c r="U119" i="9"/>
  <c r="U96" i="9"/>
  <c r="Y119" i="9"/>
  <c r="W181" i="9"/>
  <c r="W96" i="9"/>
  <c r="Y126" i="9"/>
  <c r="Q111" i="9"/>
  <c r="V128" i="9"/>
  <c r="W119" i="9"/>
  <c r="M158" i="9"/>
  <c r="N158" i="9" s="1"/>
  <c r="Y198" i="9"/>
  <c r="V141" i="9"/>
  <c r="X166" i="9"/>
  <c r="AA181" i="9"/>
  <c r="Q163" i="9"/>
  <c r="X119" i="9"/>
  <c r="N128" i="9"/>
  <c r="U141" i="9"/>
  <c r="K199" i="9"/>
  <c r="Q108" i="9"/>
  <c r="X163" i="9"/>
  <c r="W163" i="9"/>
  <c r="M193" i="9"/>
  <c r="X193" i="9" s="1"/>
  <c r="M99" i="9"/>
  <c r="T99" i="9" s="1"/>
  <c r="M95" i="9"/>
  <c r="Y95" i="9" s="1"/>
  <c r="Q169" i="9"/>
  <c r="Q182" i="9"/>
  <c r="Q148" i="9"/>
  <c r="Q119" i="9"/>
  <c r="U151" i="9"/>
  <c r="AA151" i="9"/>
  <c r="V151" i="9"/>
  <c r="M111" i="9"/>
  <c r="U111" i="9" s="1"/>
  <c r="Q162" i="9"/>
  <c r="Y125" i="9"/>
  <c r="AA125" i="9"/>
  <c r="W125" i="9"/>
  <c r="M100" i="9"/>
  <c r="Q130" i="9"/>
  <c r="M173" i="9"/>
  <c r="Z173" i="9" s="1"/>
  <c r="N163" i="9"/>
  <c r="T166" i="9"/>
  <c r="Q180" i="9"/>
  <c r="M195" i="9"/>
  <c r="W195" i="9" s="1"/>
  <c r="Q150" i="9"/>
  <c r="Q124" i="9"/>
  <c r="Q133" i="9"/>
  <c r="Q117" i="9"/>
  <c r="Y120" i="9"/>
  <c r="Z120" i="9"/>
  <c r="Q128" i="9"/>
  <c r="N166" i="9"/>
  <c r="AA166" i="9"/>
  <c r="M115" i="9"/>
  <c r="U115" i="9" s="1"/>
  <c r="X130" i="9"/>
  <c r="V130" i="9"/>
  <c r="M129" i="9"/>
  <c r="AA129" i="9" s="1"/>
  <c r="I199" i="9"/>
  <c r="Y166" i="9"/>
  <c r="O137" i="9"/>
  <c r="O143" i="9"/>
  <c r="O98" i="9"/>
  <c r="O109" i="9"/>
  <c r="O85" i="9"/>
  <c r="O138" i="9"/>
  <c r="O91" i="9"/>
  <c r="O172" i="9"/>
  <c r="O123" i="9"/>
  <c r="O124" i="9"/>
  <c r="Y189" i="9"/>
  <c r="U189" i="9"/>
  <c r="AA189" i="9"/>
  <c r="Z189" i="9"/>
  <c r="T189" i="9"/>
  <c r="X189" i="9"/>
  <c r="W189" i="9"/>
  <c r="V189" i="9"/>
  <c r="O180" i="9"/>
  <c r="O136" i="9"/>
  <c r="O182" i="9"/>
  <c r="O158" i="9"/>
  <c r="O164" i="9"/>
  <c r="O90" i="9"/>
  <c r="O149" i="9"/>
  <c r="O175" i="9"/>
  <c r="V147" i="9"/>
  <c r="T147" i="9"/>
  <c r="Z147" i="9"/>
  <c r="X147" i="9"/>
  <c r="U147" i="9"/>
  <c r="W147" i="9"/>
  <c r="Y147" i="9"/>
  <c r="AA147" i="9"/>
  <c r="N147" i="9"/>
  <c r="O159" i="9"/>
  <c r="V131" i="9"/>
  <c r="U131" i="9"/>
  <c r="Y131" i="9"/>
  <c r="Z131" i="9"/>
  <c r="W131" i="9"/>
  <c r="X131" i="9"/>
  <c r="T131" i="9"/>
  <c r="AA131" i="9"/>
  <c r="N131" i="9"/>
  <c r="O170" i="9"/>
  <c r="V168" i="9"/>
  <c r="Y168" i="9"/>
  <c r="AA168" i="9"/>
  <c r="T168" i="9"/>
  <c r="U168" i="9"/>
  <c r="W168" i="9"/>
  <c r="Z168" i="9"/>
  <c r="O79" i="9"/>
  <c r="U152" i="9"/>
  <c r="T152" i="9"/>
  <c r="Z152" i="9"/>
  <c r="Y152" i="9"/>
  <c r="V152" i="9"/>
  <c r="X152" i="9"/>
  <c r="W152" i="9"/>
  <c r="AA152" i="9"/>
  <c r="N152" i="9"/>
  <c r="O140" i="9"/>
  <c r="O144" i="9"/>
  <c r="O76" i="9"/>
  <c r="O145" i="9"/>
  <c r="V179" i="9"/>
  <c r="T179" i="9"/>
  <c r="V115" i="9"/>
  <c r="U153" i="9"/>
  <c r="T153" i="9"/>
  <c r="AA153" i="9"/>
  <c r="X153" i="9"/>
  <c r="AA194" i="9"/>
  <c r="T194" i="9"/>
  <c r="Z194" i="9"/>
  <c r="V194" i="9"/>
  <c r="X194" i="9"/>
  <c r="W194" i="9"/>
  <c r="U194" i="9"/>
  <c r="Y194" i="9"/>
  <c r="T106" i="9"/>
  <c r="X106" i="9"/>
  <c r="AA106" i="9"/>
  <c r="U106" i="9"/>
  <c r="Y106" i="9"/>
  <c r="W106" i="9"/>
  <c r="Z106" i="9"/>
  <c r="V106" i="9"/>
  <c r="U155" i="9"/>
  <c r="T155" i="9"/>
  <c r="Y155" i="9"/>
  <c r="Z155" i="9"/>
  <c r="AA155" i="9"/>
  <c r="V155" i="9"/>
  <c r="X155" i="9"/>
  <c r="W155" i="9"/>
  <c r="O198" i="9"/>
  <c r="P198" i="9"/>
  <c r="AA117" i="9"/>
  <c r="Y117" i="9"/>
  <c r="X117" i="9"/>
  <c r="U117" i="9"/>
  <c r="Q192" i="9"/>
  <c r="O122" i="9"/>
  <c r="Q115" i="9"/>
  <c r="W84" i="9"/>
  <c r="X84" i="9"/>
  <c r="U84" i="9"/>
  <c r="T84" i="9"/>
  <c r="Y84" i="9"/>
  <c r="V84" i="9"/>
  <c r="AA84" i="9"/>
  <c r="Z84" i="9"/>
  <c r="T114" i="9"/>
  <c r="W114" i="9"/>
  <c r="V114" i="9"/>
  <c r="X114" i="9"/>
  <c r="U114" i="9"/>
  <c r="AA114" i="9"/>
  <c r="Z114" i="9"/>
  <c r="Y114" i="9"/>
  <c r="X154" i="9"/>
  <c r="T154" i="9"/>
  <c r="V154" i="9"/>
  <c r="AA154" i="9"/>
  <c r="Z154" i="9"/>
  <c r="Y154" i="9"/>
  <c r="W154" i="9"/>
  <c r="U154" i="9"/>
  <c r="M190" i="9"/>
  <c r="M161" i="9"/>
  <c r="Q136" i="9"/>
  <c r="O163" i="9"/>
  <c r="Q122" i="9"/>
  <c r="N97" i="9"/>
  <c r="U156" i="9"/>
  <c r="Z156" i="9"/>
  <c r="V156" i="9"/>
  <c r="X156" i="9"/>
  <c r="T156" i="9"/>
  <c r="AA156" i="9"/>
  <c r="Y156" i="9"/>
  <c r="W156" i="9"/>
  <c r="Q123" i="9"/>
  <c r="T109" i="9"/>
  <c r="V109" i="9"/>
  <c r="W109" i="9"/>
  <c r="U109" i="9"/>
  <c r="X109" i="9"/>
  <c r="AA109" i="9"/>
  <c r="Y109" i="9"/>
  <c r="Z109" i="9"/>
  <c r="W101" i="9"/>
  <c r="Z101" i="9"/>
  <c r="U101" i="9"/>
  <c r="T101" i="9"/>
  <c r="V101" i="9"/>
  <c r="X101" i="9"/>
  <c r="AA101" i="9"/>
  <c r="Y101" i="9"/>
  <c r="AA108" i="9"/>
  <c r="W108" i="9"/>
  <c r="V108" i="9"/>
  <c r="Z108" i="9"/>
  <c r="T108" i="9"/>
  <c r="Y108" i="9"/>
  <c r="U108" i="9"/>
  <c r="X108" i="9"/>
  <c r="O120" i="9"/>
  <c r="AA191" i="9"/>
  <c r="Y191" i="9"/>
  <c r="U191" i="9"/>
  <c r="W191" i="9"/>
  <c r="T191" i="9"/>
  <c r="V191" i="9"/>
  <c r="X191" i="9"/>
  <c r="Z191" i="9"/>
  <c r="Q137" i="9"/>
  <c r="Q168" i="9"/>
  <c r="N168" i="9"/>
  <c r="Q164" i="9"/>
  <c r="Q159" i="9"/>
  <c r="W122" i="9"/>
  <c r="AA122" i="9"/>
  <c r="Z122" i="9"/>
  <c r="Y122" i="9"/>
  <c r="V122" i="9"/>
  <c r="U122" i="9"/>
  <c r="X122" i="9"/>
  <c r="T122" i="9"/>
  <c r="Q195" i="9"/>
  <c r="M176" i="9"/>
  <c r="N176" i="9" s="1"/>
  <c r="M174" i="9"/>
  <c r="Q109" i="9"/>
  <c r="M192" i="9"/>
  <c r="Q184" i="9"/>
  <c r="X118" i="9"/>
  <c r="T118" i="9"/>
  <c r="Z118" i="9"/>
  <c r="W118" i="9"/>
  <c r="AA118" i="9"/>
  <c r="Y118" i="9"/>
  <c r="U118" i="9"/>
  <c r="V118" i="9"/>
  <c r="Y172" i="9"/>
  <c r="T172" i="9"/>
  <c r="Z172" i="9"/>
  <c r="X172" i="9"/>
  <c r="U172" i="9"/>
  <c r="AA172" i="9"/>
  <c r="V172" i="9"/>
  <c r="W172" i="9"/>
  <c r="O162" i="9"/>
  <c r="U123" i="9"/>
  <c r="Y123" i="9"/>
  <c r="X123" i="9"/>
  <c r="AA123" i="9"/>
  <c r="W123" i="9"/>
  <c r="T123" i="9"/>
  <c r="Z123" i="9"/>
  <c r="V123" i="9"/>
  <c r="Y107" i="9"/>
  <c r="W107" i="9"/>
  <c r="Z107" i="9"/>
  <c r="V107" i="9"/>
  <c r="T107" i="9"/>
  <c r="U107" i="9"/>
  <c r="X107" i="9"/>
  <c r="AA107" i="9"/>
  <c r="Y148" i="9"/>
  <c r="Z148" i="9"/>
  <c r="W148" i="9"/>
  <c r="U148" i="9"/>
  <c r="T148" i="9"/>
  <c r="X148" i="9"/>
  <c r="AA148" i="9"/>
  <c r="V148" i="9"/>
  <c r="O83" i="9"/>
  <c r="X136" i="9"/>
  <c r="W136" i="9"/>
  <c r="T136" i="9"/>
  <c r="U136" i="9"/>
  <c r="Y136" i="9"/>
  <c r="V136" i="9"/>
  <c r="Z136" i="9"/>
  <c r="AA136" i="9"/>
  <c r="Q120" i="9"/>
  <c r="O96" i="9"/>
  <c r="Q140" i="9"/>
  <c r="Q172" i="9"/>
  <c r="Q193" i="9"/>
  <c r="Y145" i="9"/>
  <c r="T145" i="9"/>
  <c r="Z145" i="9"/>
  <c r="AA145" i="9"/>
  <c r="W145" i="9"/>
  <c r="U145" i="9"/>
  <c r="X145" i="9"/>
  <c r="V145" i="9"/>
  <c r="M81" i="9"/>
  <c r="Q176" i="9"/>
  <c r="Q177" i="9"/>
  <c r="M184" i="9"/>
  <c r="Q170" i="9"/>
  <c r="Z82" i="9"/>
  <c r="W82" i="9"/>
  <c r="T82" i="9"/>
  <c r="V82" i="9"/>
  <c r="U82" i="9"/>
  <c r="AA82" i="9"/>
  <c r="Y82" i="9"/>
  <c r="X82" i="9"/>
  <c r="M177" i="9"/>
  <c r="H16" i="9"/>
  <c r="F35" i="9"/>
  <c r="F17" i="9"/>
  <c r="I16" i="9"/>
  <c r="G16" i="9"/>
  <c r="T140" i="9"/>
  <c r="V140" i="9"/>
  <c r="U140" i="9"/>
  <c r="Z140" i="9"/>
  <c r="X140" i="9"/>
  <c r="W140" i="9"/>
  <c r="AA140" i="9"/>
  <c r="Y140" i="9"/>
  <c r="U149" i="9"/>
  <c r="X149" i="9"/>
  <c r="W149" i="9"/>
  <c r="T149" i="9"/>
  <c r="Y149" i="9"/>
  <c r="V149" i="9"/>
  <c r="AA149" i="9"/>
  <c r="Z149" i="9"/>
  <c r="T80" i="9"/>
  <c r="V80" i="9"/>
  <c r="U80" i="9"/>
  <c r="Z80" i="9"/>
  <c r="AA80" i="9"/>
  <c r="X80" i="9"/>
  <c r="W80" i="9"/>
  <c r="Y80" i="9"/>
  <c r="Y133" i="9"/>
  <c r="X133" i="9"/>
  <c r="V133" i="9"/>
  <c r="AA133" i="9"/>
  <c r="U133" i="9"/>
  <c r="Z133" i="9"/>
  <c r="T133" i="9"/>
  <c r="W133" i="9"/>
  <c r="W124" i="9"/>
  <c r="V124" i="9"/>
  <c r="Z124" i="9"/>
  <c r="X124" i="9"/>
  <c r="U124" i="9"/>
  <c r="AA124" i="9"/>
  <c r="Y124" i="9"/>
  <c r="T124" i="9"/>
  <c r="W164" i="9"/>
  <c r="X164" i="9"/>
  <c r="Y164" i="9"/>
  <c r="T164" i="9"/>
  <c r="U164" i="9"/>
  <c r="AA164" i="9"/>
  <c r="Z164" i="9"/>
  <c r="V164" i="9"/>
  <c r="M88" i="9"/>
  <c r="Q118" i="9"/>
  <c r="U85" i="9"/>
  <c r="W85" i="9"/>
  <c r="Z85" i="9"/>
  <c r="T85" i="9"/>
  <c r="X85" i="9"/>
  <c r="AA85" i="9"/>
  <c r="Y85" i="9"/>
  <c r="V85" i="9"/>
  <c r="Z78" i="9"/>
  <c r="Y78" i="9"/>
  <c r="AA78" i="9"/>
  <c r="T78" i="9"/>
  <c r="U78" i="9"/>
  <c r="V78" i="9"/>
  <c r="X78" i="9"/>
  <c r="W78" i="9"/>
  <c r="U110" i="9"/>
  <c r="V110" i="9"/>
  <c r="X110" i="9"/>
  <c r="Z110" i="9"/>
  <c r="Y110" i="9"/>
  <c r="T110" i="9"/>
  <c r="W110" i="9"/>
  <c r="AA110" i="9"/>
  <c r="Q149" i="9"/>
  <c r="Q121" i="9"/>
  <c r="Q143" i="9"/>
  <c r="N80" i="9"/>
  <c r="M146" i="9"/>
  <c r="M102" i="9"/>
  <c r="W138" i="9"/>
  <c r="AA138" i="9"/>
  <c r="V138" i="9"/>
  <c r="T138" i="9"/>
  <c r="Y138" i="9"/>
  <c r="U138" i="9"/>
  <c r="X138" i="9"/>
  <c r="Z138" i="9"/>
  <c r="N189" i="9"/>
  <c r="Q189" i="9"/>
  <c r="T157" i="9"/>
  <c r="U157" i="9"/>
  <c r="Z157" i="9"/>
  <c r="Y157" i="9"/>
  <c r="V157" i="9"/>
  <c r="X157" i="9"/>
  <c r="W157" i="9"/>
  <c r="AA157" i="9"/>
  <c r="O110" i="9"/>
  <c r="Q175" i="9"/>
  <c r="Q155" i="9"/>
  <c r="W183" i="9"/>
  <c r="T183" i="9"/>
  <c r="AA183" i="9"/>
  <c r="Z183" i="9"/>
  <c r="Y183" i="9"/>
  <c r="X183" i="9"/>
  <c r="V183" i="9"/>
  <c r="U183" i="9"/>
  <c r="T137" i="9"/>
  <c r="Y137" i="9"/>
  <c r="X137" i="9"/>
  <c r="W137" i="9"/>
  <c r="Z137" i="9"/>
  <c r="AA137" i="9"/>
  <c r="V137" i="9"/>
  <c r="U137" i="9"/>
  <c r="Q139" i="9"/>
  <c r="N139" i="9"/>
  <c r="N118" i="9"/>
  <c r="O141" i="9"/>
  <c r="X170" i="9"/>
  <c r="W170" i="9"/>
  <c r="V170" i="9"/>
  <c r="U170" i="9"/>
  <c r="T170" i="9"/>
  <c r="Z170" i="9"/>
  <c r="AA170" i="9"/>
  <c r="Y170" i="9"/>
  <c r="Q144" i="9"/>
  <c r="H199" i="9"/>
  <c r="M75" i="9"/>
  <c r="Z175" i="9"/>
  <c r="X175" i="9"/>
  <c r="AA175" i="9"/>
  <c r="Y175" i="9"/>
  <c r="U175" i="9"/>
  <c r="T175" i="9"/>
  <c r="V175" i="9"/>
  <c r="W175" i="9"/>
  <c r="W93" i="9"/>
  <c r="X93" i="9"/>
  <c r="U93" i="9"/>
  <c r="Y93" i="9"/>
  <c r="T93" i="9"/>
  <c r="Z93" i="9"/>
  <c r="V93" i="9"/>
  <c r="AA93" i="9"/>
  <c r="O178" i="9"/>
  <c r="O105" i="9"/>
  <c r="Q141" i="9"/>
  <c r="O151" i="9"/>
  <c r="Q131" i="9"/>
  <c r="Q110" i="9"/>
  <c r="Q132" i="9"/>
  <c r="Q152" i="9"/>
  <c r="Y86" i="9"/>
  <c r="T86" i="9"/>
  <c r="W86" i="9"/>
  <c r="AA86" i="9"/>
  <c r="X86" i="9"/>
  <c r="V86" i="9"/>
  <c r="Z86" i="9"/>
  <c r="U86" i="9"/>
  <c r="N155" i="9"/>
  <c r="M77" i="9"/>
  <c r="Q171" i="9"/>
  <c r="R196" i="9"/>
  <c r="T196" i="9"/>
  <c r="Y196" i="9"/>
  <c r="W196" i="9"/>
  <c r="AA196" i="9"/>
  <c r="X196" i="9"/>
  <c r="U196" i="9"/>
  <c r="V196" i="9"/>
  <c r="Z196" i="9"/>
  <c r="Q105" i="9"/>
  <c r="T89" i="9"/>
  <c r="X89" i="9"/>
  <c r="Y89" i="9"/>
  <c r="Z89" i="9"/>
  <c r="W89" i="9"/>
  <c r="AA89" i="9"/>
  <c r="V89" i="9"/>
  <c r="U89" i="9"/>
  <c r="F95" i="9"/>
  <c r="G95" i="9"/>
  <c r="Q178" i="9"/>
  <c r="L199" i="9"/>
  <c r="M169" i="9"/>
  <c r="Q151" i="9"/>
  <c r="V186" i="9"/>
  <c r="T186" i="9"/>
  <c r="AA186" i="9"/>
  <c r="U186" i="9"/>
  <c r="X186" i="9"/>
  <c r="Y186" i="9"/>
  <c r="Z186" i="9"/>
  <c r="W186" i="9"/>
  <c r="Q147" i="9"/>
  <c r="O119" i="9"/>
  <c r="O128" i="9"/>
  <c r="Q146" i="9"/>
  <c r="N133" i="9"/>
  <c r="F102" i="9"/>
  <c r="Q98" i="9" s="1"/>
  <c r="G102" i="9"/>
  <c r="Q187" i="9"/>
  <c r="U112" i="9"/>
  <c r="AA112" i="9"/>
  <c r="X112" i="9"/>
  <c r="Z112" i="9"/>
  <c r="Y112" i="9"/>
  <c r="W112" i="9"/>
  <c r="V112" i="9"/>
  <c r="T112" i="9"/>
  <c r="O86" i="9"/>
  <c r="N89" i="9"/>
  <c r="V103" i="9"/>
  <c r="W103" i="9"/>
  <c r="AA103" i="9"/>
  <c r="U103" i="9"/>
  <c r="Y103" i="9"/>
  <c r="T103" i="9"/>
  <c r="X103" i="9"/>
  <c r="Z103" i="9"/>
  <c r="Y92" i="9"/>
  <c r="Z92" i="9"/>
  <c r="W92" i="9"/>
  <c r="U92" i="9"/>
  <c r="X92" i="9"/>
  <c r="T92" i="9"/>
  <c r="AA92" i="9"/>
  <c r="V92" i="9"/>
  <c r="M171" i="9"/>
  <c r="N171" i="9" s="1"/>
  <c r="Y182" i="9"/>
  <c r="X182" i="9"/>
  <c r="U182" i="9"/>
  <c r="T182" i="9"/>
  <c r="W182" i="9"/>
  <c r="V182" i="9"/>
  <c r="AA182" i="9"/>
  <c r="Z182" i="9"/>
  <c r="N194" i="9"/>
  <c r="Q113" i="9"/>
  <c r="X97" i="9"/>
  <c r="U97" i="9"/>
  <c r="W97" i="9"/>
  <c r="AA97" i="9"/>
  <c r="Y97" i="9"/>
  <c r="Z97" i="9"/>
  <c r="V97" i="9"/>
  <c r="T97" i="9"/>
  <c r="U143" i="9"/>
  <c r="AA143" i="9"/>
  <c r="Z143" i="9"/>
  <c r="X143" i="9"/>
  <c r="T143" i="9"/>
  <c r="W143" i="9"/>
  <c r="Y143" i="9"/>
  <c r="V143" i="9"/>
  <c r="U90" i="9"/>
  <c r="Y90" i="9"/>
  <c r="X90" i="9"/>
  <c r="Z90" i="9"/>
  <c r="W90" i="9"/>
  <c r="V90" i="9"/>
  <c r="T90" i="9"/>
  <c r="AA90" i="9"/>
  <c r="N103" i="9"/>
  <c r="Q103" i="9"/>
  <c r="W76" i="9"/>
  <c r="X76" i="9"/>
  <c r="T76" i="9"/>
  <c r="U76" i="9"/>
  <c r="AA76" i="9"/>
  <c r="Z76" i="9"/>
  <c r="V76" i="9"/>
  <c r="Y76" i="9"/>
  <c r="X91" i="9"/>
  <c r="U91" i="9"/>
  <c r="V91" i="9"/>
  <c r="Z91" i="9"/>
  <c r="AA91" i="9"/>
  <c r="W91" i="9"/>
  <c r="T91" i="9"/>
  <c r="Y91" i="9"/>
  <c r="W127" i="9"/>
  <c r="V127" i="9"/>
  <c r="AA127" i="9"/>
  <c r="Y127" i="9"/>
  <c r="T127" i="9"/>
  <c r="Z127" i="9"/>
  <c r="U127" i="9"/>
  <c r="X127" i="9"/>
  <c r="N167" i="9"/>
  <c r="N106" i="9"/>
  <c r="O125" i="9"/>
  <c r="N101" i="9"/>
  <c r="W185" i="9"/>
  <c r="Z185" i="9"/>
  <c r="T185" i="9"/>
  <c r="X185" i="9"/>
  <c r="Y185" i="9"/>
  <c r="V185" i="9"/>
  <c r="U185" i="9"/>
  <c r="AA185" i="9"/>
  <c r="Q194" i="9"/>
  <c r="O87" i="9"/>
  <c r="M135" i="9"/>
  <c r="N135" i="9" s="1"/>
  <c r="O113" i="9"/>
  <c r="N186" i="9"/>
  <c r="Q183" i="9"/>
  <c r="N183" i="9"/>
  <c r="M132" i="9"/>
  <c r="O181" i="9"/>
  <c r="Q190" i="9"/>
  <c r="Q165" i="9"/>
  <c r="N165" i="9"/>
  <c r="Q106" i="9"/>
  <c r="O107" i="9"/>
  <c r="Q173" i="9"/>
  <c r="X79" i="9"/>
  <c r="U79" i="9"/>
  <c r="V79" i="9"/>
  <c r="W79" i="9"/>
  <c r="T79" i="9"/>
  <c r="Y79" i="9"/>
  <c r="Z79" i="9"/>
  <c r="AA79" i="9"/>
  <c r="W167" i="9"/>
  <c r="V167" i="9"/>
  <c r="AA167" i="9"/>
  <c r="Z167" i="9"/>
  <c r="X167" i="9"/>
  <c r="U167" i="9"/>
  <c r="Y167" i="9"/>
  <c r="T167" i="9"/>
  <c r="Q186" i="9"/>
  <c r="Q174" i="9"/>
  <c r="N100" i="9"/>
  <c r="Q157" i="9"/>
  <c r="N157" i="9"/>
  <c r="Q181" i="9"/>
  <c r="Q179" i="9"/>
  <c r="N196" i="9"/>
  <c r="Q134" i="9"/>
  <c r="Q126" i="9"/>
  <c r="N126" i="9"/>
  <c r="N84" i="9"/>
  <c r="Q142" i="9"/>
  <c r="Q160" i="9"/>
  <c r="N148" i="9"/>
  <c r="N179" i="9"/>
  <c r="T100" i="9"/>
  <c r="V100" i="9"/>
  <c r="Z100" i="9"/>
  <c r="X100" i="9"/>
  <c r="U100" i="9"/>
  <c r="W100" i="9"/>
  <c r="AA100" i="9"/>
  <c r="Y100" i="9"/>
  <c r="AA162" i="9"/>
  <c r="V162" i="9"/>
  <c r="T162" i="9"/>
  <c r="X162" i="9"/>
  <c r="W162" i="9"/>
  <c r="Y162" i="9"/>
  <c r="Z162" i="9"/>
  <c r="U162" i="9"/>
  <c r="Z188" i="9"/>
  <c r="T188" i="9"/>
  <c r="V188" i="9"/>
  <c r="AA188" i="9"/>
  <c r="X188" i="9"/>
  <c r="U188" i="9"/>
  <c r="Y188" i="9"/>
  <c r="W188" i="9"/>
  <c r="Q167" i="9"/>
  <c r="Q125" i="9"/>
  <c r="Q129" i="9"/>
  <c r="O82" i="9"/>
  <c r="V98" i="9"/>
  <c r="AA98" i="9"/>
  <c r="Z98" i="9"/>
  <c r="W98" i="9"/>
  <c r="X98" i="9"/>
  <c r="Y98" i="9"/>
  <c r="T98" i="9"/>
  <c r="U98" i="9"/>
  <c r="T159" i="9"/>
  <c r="V159" i="9"/>
  <c r="W159" i="9"/>
  <c r="Y159" i="9"/>
  <c r="Z159" i="9"/>
  <c r="AA159" i="9"/>
  <c r="U159" i="9"/>
  <c r="X159" i="9"/>
  <c r="Q116" i="9"/>
  <c r="U134" i="9"/>
  <c r="W134" i="9"/>
  <c r="X134" i="9"/>
  <c r="T134" i="9"/>
  <c r="AA134" i="9"/>
  <c r="Z134" i="9"/>
  <c r="V134" i="9"/>
  <c r="Y134" i="9"/>
  <c r="O127" i="9"/>
  <c r="Q107" i="9"/>
  <c r="M187" i="9"/>
  <c r="T144" i="9"/>
  <c r="AA144" i="9"/>
  <c r="Y144" i="9"/>
  <c r="X144" i="9"/>
  <c r="V144" i="9"/>
  <c r="Z144" i="9"/>
  <c r="W144" i="9"/>
  <c r="U144" i="9"/>
  <c r="Q156" i="9"/>
  <c r="N93" i="9"/>
  <c r="Z104" i="9"/>
  <c r="AA104" i="9"/>
  <c r="T104" i="9"/>
  <c r="Y104" i="9"/>
  <c r="U104" i="9"/>
  <c r="V104" i="9"/>
  <c r="W104" i="9"/>
  <c r="X104" i="9"/>
  <c r="AA142" i="9"/>
  <c r="V142" i="9"/>
  <c r="T142" i="9"/>
  <c r="U142" i="9"/>
  <c r="Y142" i="9"/>
  <c r="X142" i="9"/>
  <c r="Z142" i="9"/>
  <c r="W142" i="9"/>
  <c r="J199" i="9"/>
  <c r="N112" i="9"/>
  <c r="Q127" i="9"/>
  <c r="N191" i="9"/>
  <c r="N154" i="9"/>
  <c r="N134" i="9"/>
  <c r="O197" i="9"/>
  <c r="P197" i="9"/>
  <c r="Q135" i="9"/>
  <c r="E199" i="9"/>
  <c r="Z87" i="9"/>
  <c r="T87" i="9"/>
  <c r="U87" i="9"/>
  <c r="Y87" i="9"/>
  <c r="V87" i="9"/>
  <c r="X87" i="9"/>
  <c r="W87" i="9"/>
  <c r="AA87" i="9"/>
  <c r="N114" i="9"/>
  <c r="Q166" i="9"/>
  <c r="N142" i="9"/>
  <c r="M160" i="9"/>
  <c r="Q161" i="9"/>
  <c r="N185" i="9"/>
  <c r="O108" i="9"/>
  <c r="O156" i="9"/>
  <c r="AA180" i="9"/>
  <c r="W180" i="9"/>
  <c r="U180" i="9"/>
  <c r="X180" i="9"/>
  <c r="V180" i="9"/>
  <c r="Z180" i="9"/>
  <c r="T180" i="9"/>
  <c r="Y180" i="9"/>
  <c r="M116" i="9"/>
  <c r="W178" i="9"/>
  <c r="X178" i="9"/>
  <c r="Z178" i="9"/>
  <c r="T178" i="9"/>
  <c r="V178" i="9"/>
  <c r="Y178" i="9"/>
  <c r="AA178" i="9"/>
  <c r="U178" i="9"/>
  <c r="O130" i="9"/>
  <c r="Q112" i="9"/>
  <c r="N188" i="9"/>
  <c r="Q191" i="9"/>
  <c r="N104" i="9"/>
  <c r="Q154" i="9"/>
  <c r="N78" i="9"/>
  <c r="N117" i="9"/>
  <c r="N153" i="9"/>
  <c r="Q153" i="9"/>
  <c r="N92" i="9"/>
  <c r="Q145" i="9"/>
  <c r="Q114" i="9"/>
  <c r="O166" i="9"/>
  <c r="Q158" i="9"/>
  <c r="Q185" i="9"/>
  <c r="F6" i="4"/>
  <c r="F7" i="4"/>
  <c r="F8" i="4"/>
  <c r="F98" i="4"/>
  <c r="G98" i="4"/>
  <c r="G96" i="4"/>
  <c r="G100" i="4"/>
  <c r="F100" i="4"/>
  <c r="F97" i="4"/>
  <c r="G97" i="4"/>
  <c r="G103" i="4"/>
  <c r="F103" i="4"/>
  <c r="G99" i="4"/>
  <c r="F99" i="4"/>
  <c r="F16" i="4"/>
  <c r="F35" i="4" s="1"/>
  <c r="Q193" i="4"/>
  <c r="Q198" i="4"/>
  <c r="C16" i="4"/>
  <c r="C14" i="4"/>
  <c r="C15" i="4"/>
  <c r="M97" i="4"/>
  <c r="M99" i="4"/>
  <c r="M107" i="4"/>
  <c r="M121" i="4"/>
  <c r="M129" i="4"/>
  <c r="M137" i="4"/>
  <c r="M145" i="4"/>
  <c r="M147" i="4"/>
  <c r="M153" i="4"/>
  <c r="M169" i="4"/>
  <c r="M177" i="4"/>
  <c r="M185" i="4"/>
  <c r="M193" i="4"/>
  <c r="M83" i="4"/>
  <c r="M128" i="4"/>
  <c r="M92" i="4"/>
  <c r="M108" i="4"/>
  <c r="M116" i="4"/>
  <c r="M148" i="4"/>
  <c r="M156" i="4"/>
  <c r="M174" i="4"/>
  <c r="M190" i="4"/>
  <c r="M168" i="4"/>
  <c r="M198" i="4"/>
  <c r="M103" i="4"/>
  <c r="M89" i="4"/>
  <c r="M159" i="4"/>
  <c r="M119" i="4"/>
  <c r="M125" i="4"/>
  <c r="M133" i="4"/>
  <c r="M79" i="4"/>
  <c r="M165" i="4"/>
  <c r="M173" i="4"/>
  <c r="M197" i="4"/>
  <c r="M122" i="4"/>
  <c r="M130" i="4"/>
  <c r="M134" i="4"/>
  <c r="M162" i="4"/>
  <c r="M170" i="4"/>
  <c r="M188" i="4"/>
  <c r="M111" i="4"/>
  <c r="M113" i="4"/>
  <c r="M120" i="4"/>
  <c r="M81" i="4"/>
  <c r="M161" i="4"/>
  <c r="M77" i="4"/>
  <c r="M91" i="4"/>
  <c r="M143" i="4"/>
  <c r="M160" i="4"/>
  <c r="M105" i="4"/>
  <c r="M86" i="4"/>
  <c r="M96" i="4"/>
  <c r="M101" i="4"/>
  <c r="M110" i="4"/>
  <c r="M150" i="4"/>
  <c r="M183" i="4"/>
  <c r="M195" i="4"/>
  <c r="M98" i="4"/>
  <c r="M131" i="4"/>
  <c r="M136" i="4"/>
  <c r="M141" i="4"/>
  <c r="M171" i="4"/>
  <c r="M124" i="4"/>
  <c r="M138" i="4"/>
  <c r="M164" i="4"/>
  <c r="M176" i="4"/>
  <c r="M181" i="4"/>
  <c r="M178" i="4"/>
  <c r="M100" i="4"/>
  <c r="M112" i="4"/>
  <c r="M117" i="4"/>
  <c r="M126" i="4"/>
  <c r="M152" i="4"/>
  <c r="M157" i="4"/>
  <c r="M166" i="4"/>
  <c r="M187" i="4"/>
  <c r="M114" i="4"/>
  <c r="M140" i="4"/>
  <c r="M154" i="4"/>
  <c r="M78" i="4"/>
  <c r="M95" i="4"/>
  <c r="M90" i="4"/>
  <c r="M102" i="4"/>
  <c r="M135" i="4"/>
  <c r="M180" i="4"/>
  <c r="M192" i="4"/>
  <c r="M88" i="4"/>
  <c r="M93" i="4"/>
  <c r="M123" i="4"/>
  <c r="M142" i="4"/>
  <c r="M163" i="4"/>
  <c r="M175" i="4"/>
  <c r="M182" i="4"/>
  <c r="M194" i="4"/>
  <c r="Q197" i="4"/>
  <c r="M196" i="4"/>
  <c r="M104" i="4"/>
  <c r="M109" i="4"/>
  <c r="M118" i="4"/>
  <c r="M139" i="4"/>
  <c r="M144" i="4"/>
  <c r="M149" i="4"/>
  <c r="M158" i="4"/>
  <c r="M94" i="4"/>
  <c r="M179" i="4"/>
  <c r="M151" i="4"/>
  <c r="M80" i="4"/>
  <c r="M85" i="4"/>
  <c r="J199" i="4"/>
  <c r="M82" i="4"/>
  <c r="M106" i="4"/>
  <c r="M146" i="4"/>
  <c r="M184" i="4"/>
  <c r="M189" i="4"/>
  <c r="M132" i="4"/>
  <c r="M172" i="4"/>
  <c r="M186" i="4"/>
  <c r="M87" i="4"/>
  <c r="M191" i="4"/>
  <c r="L199" i="4"/>
  <c r="M115" i="4"/>
  <c r="M127" i="4"/>
  <c r="M155" i="4"/>
  <c r="M167" i="4"/>
  <c r="K199" i="4"/>
  <c r="M76" i="4"/>
  <c r="M84" i="4"/>
  <c r="E199" i="4"/>
  <c r="H199" i="4"/>
  <c r="M75" i="4"/>
  <c r="I199" i="4"/>
  <c r="T193" i="9" l="1"/>
  <c r="N129" i="9"/>
  <c r="R191" i="9"/>
  <c r="X165" i="9"/>
  <c r="T165" i="9"/>
  <c r="V121" i="9"/>
  <c r="U158" i="9"/>
  <c r="T121" i="9"/>
  <c r="T139" i="9"/>
  <c r="Y165" i="9"/>
  <c r="Z153" i="9"/>
  <c r="V153" i="9"/>
  <c r="Y121" i="9"/>
  <c r="W117" i="9"/>
  <c r="Y153" i="9"/>
  <c r="X121" i="9"/>
  <c r="Y139" i="9"/>
  <c r="V139" i="9"/>
  <c r="W139" i="9"/>
  <c r="Z139" i="9"/>
  <c r="Z117" i="9"/>
  <c r="V117" i="9"/>
  <c r="X150" i="9"/>
  <c r="W150" i="9"/>
  <c r="Y150" i="9"/>
  <c r="N121" i="9"/>
  <c r="Z121" i="9"/>
  <c r="W121" i="9"/>
  <c r="U121" i="9"/>
  <c r="AA139" i="9"/>
  <c r="U129" i="9"/>
  <c r="X129" i="9"/>
  <c r="T129" i="9"/>
  <c r="N99" i="9"/>
  <c r="U95" i="9"/>
  <c r="X99" i="9"/>
  <c r="N94" i="9"/>
  <c r="AA95" i="9"/>
  <c r="AA99" i="9"/>
  <c r="V94" i="9"/>
  <c r="Y99" i="9"/>
  <c r="Z94" i="9"/>
  <c r="X115" i="9"/>
  <c r="Z99" i="9"/>
  <c r="U94" i="9"/>
  <c r="Z115" i="9"/>
  <c r="Y94" i="9"/>
  <c r="AA193" i="9"/>
  <c r="W94" i="9"/>
  <c r="T115" i="9"/>
  <c r="Y193" i="9"/>
  <c r="W115" i="9"/>
  <c r="U193" i="9"/>
  <c r="W95" i="9"/>
  <c r="Y129" i="9"/>
  <c r="T158" i="9"/>
  <c r="Z158" i="9"/>
  <c r="V129" i="9"/>
  <c r="Y158" i="9"/>
  <c r="V158" i="9"/>
  <c r="N195" i="9"/>
  <c r="P194" i="9" s="1"/>
  <c r="X158" i="9"/>
  <c r="W158" i="9"/>
  <c r="AA158" i="9"/>
  <c r="N193" i="9"/>
  <c r="U195" i="9"/>
  <c r="Z193" i="9"/>
  <c r="T94" i="9"/>
  <c r="V195" i="9"/>
  <c r="W193" i="9"/>
  <c r="X94" i="9"/>
  <c r="V193" i="9"/>
  <c r="W173" i="9"/>
  <c r="R178" i="9"/>
  <c r="X95" i="9"/>
  <c r="AA173" i="9"/>
  <c r="N115" i="9"/>
  <c r="AA115" i="9"/>
  <c r="Z95" i="9"/>
  <c r="Y115" i="9"/>
  <c r="T95" i="9"/>
  <c r="Y195" i="9"/>
  <c r="X195" i="9"/>
  <c r="R194" i="9"/>
  <c r="Z165" i="9"/>
  <c r="Z195" i="9"/>
  <c r="W165" i="9"/>
  <c r="Z150" i="9"/>
  <c r="V150" i="9"/>
  <c r="T195" i="9"/>
  <c r="U165" i="9"/>
  <c r="U99" i="9"/>
  <c r="U150" i="9"/>
  <c r="R195" i="9"/>
  <c r="U139" i="9"/>
  <c r="AA165" i="9"/>
  <c r="W99" i="9"/>
  <c r="T150" i="9"/>
  <c r="V99" i="9"/>
  <c r="AA150" i="9"/>
  <c r="T173" i="9"/>
  <c r="AA179" i="9"/>
  <c r="Z179" i="9"/>
  <c r="Y179" i="9"/>
  <c r="R193" i="9"/>
  <c r="N75" i="9"/>
  <c r="F18" i="9"/>
  <c r="N173" i="9"/>
  <c r="U173" i="9"/>
  <c r="AA195" i="9"/>
  <c r="V95" i="9"/>
  <c r="X173" i="9"/>
  <c r="V173" i="9"/>
  <c r="R164" i="9"/>
  <c r="R109" i="9"/>
  <c r="R140" i="9"/>
  <c r="R186" i="9"/>
  <c r="R189" i="9"/>
  <c r="R182" i="9"/>
  <c r="R180" i="9"/>
  <c r="W179" i="9"/>
  <c r="X179" i="9"/>
  <c r="Y111" i="9"/>
  <c r="Q101" i="9"/>
  <c r="X111" i="9"/>
  <c r="R166" i="9"/>
  <c r="R84" i="9"/>
  <c r="AA111" i="9"/>
  <c r="Z111" i="9"/>
  <c r="T111" i="9"/>
  <c r="Q75" i="9"/>
  <c r="F6" i="9" s="1"/>
  <c r="F199" i="9"/>
  <c r="W111" i="9"/>
  <c r="Q76" i="9"/>
  <c r="Q89" i="9"/>
  <c r="Q85" i="9"/>
  <c r="V111" i="9"/>
  <c r="Q86" i="9"/>
  <c r="R82" i="9"/>
  <c r="Q77" i="9"/>
  <c r="R167" i="9"/>
  <c r="R129" i="9"/>
  <c r="R185" i="9"/>
  <c r="R163" i="9"/>
  <c r="Q81" i="9"/>
  <c r="Q82" i="9"/>
  <c r="R181" i="9"/>
  <c r="Z129" i="9"/>
  <c r="Q84" i="9"/>
  <c r="R188" i="9"/>
  <c r="Q100" i="9"/>
  <c r="R126" i="9"/>
  <c r="N111" i="9"/>
  <c r="W129" i="9"/>
  <c r="Y173" i="9"/>
  <c r="R148" i="9"/>
  <c r="Q80" i="9"/>
  <c r="O176" i="9"/>
  <c r="O117" i="9"/>
  <c r="O183" i="9"/>
  <c r="R143" i="9"/>
  <c r="O121" i="9"/>
  <c r="O78" i="9"/>
  <c r="O185" i="9"/>
  <c r="R104" i="9"/>
  <c r="O129" i="9"/>
  <c r="O148" i="9"/>
  <c r="N132" i="9"/>
  <c r="R183" i="9"/>
  <c r="O189" i="9"/>
  <c r="R149" i="9"/>
  <c r="R177" i="9"/>
  <c r="AA177" i="9"/>
  <c r="Z177" i="9"/>
  <c r="Y177" i="9"/>
  <c r="X177" i="9"/>
  <c r="W177" i="9"/>
  <c r="V177" i="9"/>
  <c r="T177" i="9"/>
  <c r="U177" i="9"/>
  <c r="R107" i="9"/>
  <c r="R192" i="9"/>
  <c r="Z192" i="9"/>
  <c r="X192" i="9"/>
  <c r="W192" i="9"/>
  <c r="V192" i="9"/>
  <c r="AA192" i="9"/>
  <c r="T192" i="9"/>
  <c r="Y192" i="9"/>
  <c r="U192" i="9"/>
  <c r="R101" i="9"/>
  <c r="R120" i="9"/>
  <c r="R76" i="9"/>
  <c r="O179" i="9"/>
  <c r="O100" i="9"/>
  <c r="N160" i="9"/>
  <c r="O186" i="9"/>
  <c r="O101" i="9"/>
  <c r="O168" i="9"/>
  <c r="R130" i="9"/>
  <c r="O147" i="9"/>
  <c r="R78" i="9"/>
  <c r="R81" i="9"/>
  <c r="Y81" i="9"/>
  <c r="W81" i="9"/>
  <c r="AA81" i="9"/>
  <c r="X81" i="9"/>
  <c r="V81" i="9"/>
  <c r="Z81" i="9"/>
  <c r="U81" i="9"/>
  <c r="T81" i="9"/>
  <c r="R174" i="9"/>
  <c r="Y174" i="9"/>
  <c r="AA174" i="9"/>
  <c r="Z174" i="9"/>
  <c r="U174" i="9"/>
  <c r="V174" i="9"/>
  <c r="W174" i="9"/>
  <c r="T174" i="9"/>
  <c r="X174" i="9"/>
  <c r="N174" i="9"/>
  <c r="O131" i="9"/>
  <c r="R105" i="9"/>
  <c r="R176" i="9"/>
  <c r="AA176" i="9"/>
  <c r="X176" i="9"/>
  <c r="V176" i="9"/>
  <c r="Y176" i="9"/>
  <c r="T176" i="9"/>
  <c r="W176" i="9"/>
  <c r="U176" i="9"/>
  <c r="Z176" i="9"/>
  <c r="R156" i="9"/>
  <c r="R106" i="9"/>
  <c r="R152" i="9"/>
  <c r="R94" i="9"/>
  <c r="R128" i="9"/>
  <c r="O188" i="9"/>
  <c r="R79" i="9"/>
  <c r="R172" i="9"/>
  <c r="O97" i="9"/>
  <c r="R154" i="9"/>
  <c r="R95" i="9"/>
  <c r="O150" i="9"/>
  <c r="R125" i="9"/>
  <c r="R96" i="9"/>
  <c r="R173" i="9"/>
  <c r="O84" i="9"/>
  <c r="O103" i="9"/>
  <c r="R112" i="9"/>
  <c r="R77" i="9"/>
  <c r="U77" i="9"/>
  <c r="V77" i="9"/>
  <c r="AA77" i="9"/>
  <c r="T77" i="9"/>
  <c r="Y77" i="9"/>
  <c r="Z77" i="9"/>
  <c r="X77" i="9"/>
  <c r="W77" i="9"/>
  <c r="O114" i="9"/>
  <c r="R162" i="9"/>
  <c r="O126" i="9"/>
  <c r="O106" i="9"/>
  <c r="R171" i="9"/>
  <c r="Y171" i="9"/>
  <c r="U171" i="9"/>
  <c r="AA171" i="9"/>
  <c r="W171" i="9"/>
  <c r="V171" i="9"/>
  <c r="Z171" i="9"/>
  <c r="T171" i="9"/>
  <c r="X171" i="9"/>
  <c r="O155" i="9"/>
  <c r="R124" i="9"/>
  <c r="O195" i="9"/>
  <c r="R83" i="9"/>
  <c r="R153" i="9"/>
  <c r="R99" i="9"/>
  <c r="R111" i="9"/>
  <c r="O134" i="9"/>
  <c r="O167" i="9"/>
  <c r="R158" i="9"/>
  <c r="R108" i="9"/>
  <c r="R117" i="9"/>
  <c r="R139" i="9"/>
  <c r="O154" i="9"/>
  <c r="R142" i="9"/>
  <c r="R103" i="9"/>
  <c r="Q102" i="9"/>
  <c r="N102" i="9"/>
  <c r="Q99" i="9"/>
  <c r="Q96" i="9"/>
  <c r="Q97" i="9"/>
  <c r="R89" i="9"/>
  <c r="R137" i="9"/>
  <c r="R80" i="9"/>
  <c r="R179" i="9"/>
  <c r="R93" i="9"/>
  <c r="O75" i="9"/>
  <c r="O196" i="9"/>
  <c r="P196" i="9"/>
  <c r="R97" i="9"/>
  <c r="O133" i="9"/>
  <c r="O115" i="9"/>
  <c r="R160" i="9"/>
  <c r="U160" i="9"/>
  <c r="T160" i="9"/>
  <c r="V160" i="9"/>
  <c r="AA160" i="9"/>
  <c r="Y160" i="9"/>
  <c r="X160" i="9"/>
  <c r="W160" i="9"/>
  <c r="Z160" i="9"/>
  <c r="O135" i="9"/>
  <c r="O93" i="9"/>
  <c r="O171" i="9"/>
  <c r="R135" i="9"/>
  <c r="V135" i="9"/>
  <c r="X135" i="9"/>
  <c r="Z135" i="9"/>
  <c r="AA135" i="9"/>
  <c r="Y135" i="9"/>
  <c r="U135" i="9"/>
  <c r="T135" i="9"/>
  <c r="W135" i="9"/>
  <c r="R134" i="9"/>
  <c r="O165" i="9"/>
  <c r="R91" i="9"/>
  <c r="O89" i="9"/>
  <c r="N146" i="9"/>
  <c r="R170" i="9"/>
  <c r="R138" i="9"/>
  <c r="R110" i="9"/>
  <c r="R123" i="9"/>
  <c r="Q88" i="9"/>
  <c r="O152" i="9"/>
  <c r="R121" i="9"/>
  <c r="R116" i="9"/>
  <c r="T116" i="9"/>
  <c r="U116" i="9"/>
  <c r="W116" i="9"/>
  <c r="Z116" i="9"/>
  <c r="V116" i="9"/>
  <c r="AA116" i="9"/>
  <c r="X116" i="9"/>
  <c r="Y116" i="9"/>
  <c r="O142" i="9"/>
  <c r="R159" i="9"/>
  <c r="N116" i="9"/>
  <c r="N77" i="9"/>
  <c r="Q87" i="9"/>
  <c r="R169" i="9"/>
  <c r="Z169" i="9"/>
  <c r="V169" i="9"/>
  <c r="X169" i="9"/>
  <c r="Y169" i="9"/>
  <c r="AA169" i="9"/>
  <c r="U169" i="9"/>
  <c r="W169" i="9"/>
  <c r="T169" i="9"/>
  <c r="N169" i="9"/>
  <c r="R102" i="9"/>
  <c r="V102" i="9"/>
  <c r="AA102" i="9"/>
  <c r="X102" i="9"/>
  <c r="U102" i="9"/>
  <c r="W102" i="9"/>
  <c r="Z102" i="9"/>
  <c r="T102" i="9"/>
  <c r="Y102" i="9"/>
  <c r="G23" i="9"/>
  <c r="G17" i="9"/>
  <c r="N81" i="9"/>
  <c r="R161" i="9"/>
  <c r="W161" i="9"/>
  <c r="U161" i="9"/>
  <c r="T161" i="9"/>
  <c r="X161" i="9"/>
  <c r="AA161" i="9"/>
  <c r="Y161" i="9"/>
  <c r="Z161" i="9"/>
  <c r="V161" i="9"/>
  <c r="N161" i="9"/>
  <c r="R155" i="9"/>
  <c r="R151" i="9"/>
  <c r="R147" i="9"/>
  <c r="O94" i="9"/>
  <c r="R146" i="9"/>
  <c r="U146" i="9"/>
  <c r="Y146" i="9"/>
  <c r="X146" i="9"/>
  <c r="T146" i="9"/>
  <c r="AA146" i="9"/>
  <c r="V146" i="9"/>
  <c r="Z146" i="9"/>
  <c r="W146" i="9"/>
  <c r="R85" i="9"/>
  <c r="I17" i="9"/>
  <c r="I23" i="9"/>
  <c r="R145" i="9"/>
  <c r="R190" i="9"/>
  <c r="Z190" i="9"/>
  <c r="W190" i="9"/>
  <c r="Y190" i="9"/>
  <c r="U190" i="9"/>
  <c r="AA190" i="9"/>
  <c r="T190" i="9"/>
  <c r="X190" i="9"/>
  <c r="V190" i="9"/>
  <c r="N190" i="9"/>
  <c r="R131" i="9"/>
  <c r="O173" i="9"/>
  <c r="O118" i="9"/>
  <c r="O193" i="9"/>
  <c r="R136" i="9"/>
  <c r="O99" i="9"/>
  <c r="O111" i="9"/>
  <c r="R141" i="9"/>
  <c r="O104" i="9"/>
  <c r="O191" i="9"/>
  <c r="O92" i="9"/>
  <c r="R144" i="9"/>
  <c r="R90" i="9"/>
  <c r="R113" i="9"/>
  <c r="O112" i="9"/>
  <c r="R187" i="9"/>
  <c r="Z187" i="9"/>
  <c r="Y187" i="9"/>
  <c r="AA187" i="9"/>
  <c r="W187" i="9"/>
  <c r="X187" i="9"/>
  <c r="U187" i="9"/>
  <c r="V187" i="9"/>
  <c r="T187" i="9"/>
  <c r="N187" i="9"/>
  <c r="R98" i="9"/>
  <c r="O157" i="9"/>
  <c r="G199" i="9"/>
  <c r="R175" i="9"/>
  <c r="O139" i="9"/>
  <c r="O80" i="9"/>
  <c r="R88" i="9"/>
  <c r="V88" i="9"/>
  <c r="AA88" i="9"/>
  <c r="U88" i="9"/>
  <c r="Z88" i="9"/>
  <c r="Y88" i="9"/>
  <c r="T88" i="9"/>
  <c r="X88" i="9"/>
  <c r="W88" i="9"/>
  <c r="N88" i="9"/>
  <c r="F36" i="9"/>
  <c r="J35" i="9"/>
  <c r="J36" i="9" s="1"/>
  <c r="I42" i="9"/>
  <c r="I35" i="9"/>
  <c r="H42" i="9"/>
  <c r="H35" i="9"/>
  <c r="G42" i="9"/>
  <c r="G35" i="9"/>
  <c r="R184" i="9"/>
  <c r="AA184" i="9"/>
  <c r="X184" i="9"/>
  <c r="Z184" i="9"/>
  <c r="T184" i="9"/>
  <c r="W184" i="9"/>
  <c r="Y184" i="9"/>
  <c r="V184" i="9"/>
  <c r="U184" i="9"/>
  <c r="R118" i="9"/>
  <c r="N192" i="9"/>
  <c r="R165" i="9"/>
  <c r="R150" i="9"/>
  <c r="O194" i="9"/>
  <c r="O153" i="9"/>
  <c r="R87" i="9"/>
  <c r="R100" i="9"/>
  <c r="R132" i="9"/>
  <c r="V132" i="9"/>
  <c r="Z132" i="9"/>
  <c r="U132" i="9"/>
  <c r="AA132" i="9"/>
  <c r="Y132" i="9"/>
  <c r="X132" i="9"/>
  <c r="W132" i="9"/>
  <c r="T132" i="9"/>
  <c r="R127" i="9"/>
  <c r="R92" i="9"/>
  <c r="Q95" i="9"/>
  <c r="N95" i="9"/>
  <c r="Q93" i="9"/>
  <c r="Q78" i="9"/>
  <c r="Q94" i="9"/>
  <c r="Q83" i="9"/>
  <c r="Q79" i="9"/>
  <c r="Q91" i="9"/>
  <c r="Q90" i="9"/>
  <c r="Q92" i="9"/>
  <c r="R86" i="9"/>
  <c r="M199" i="9"/>
  <c r="R75" i="9"/>
  <c r="AA75" i="9"/>
  <c r="X75" i="9"/>
  <c r="Z75" i="9"/>
  <c r="U75" i="9"/>
  <c r="W75" i="9"/>
  <c r="T75" i="9"/>
  <c r="V75" i="9"/>
  <c r="Y75" i="9"/>
  <c r="R157" i="9"/>
  <c r="R133" i="9"/>
  <c r="H17" i="9"/>
  <c r="H23" i="9"/>
  <c r="N177" i="9"/>
  <c r="N184" i="9"/>
  <c r="R122" i="9"/>
  <c r="R114" i="9"/>
  <c r="R115" i="9"/>
  <c r="R168" i="9"/>
  <c r="R119" i="9"/>
  <c r="T105" i="4"/>
  <c r="V105" i="4"/>
  <c r="AA105" i="4"/>
  <c r="U105" i="4"/>
  <c r="V160" i="4"/>
  <c r="AA160" i="4"/>
  <c r="T160" i="4"/>
  <c r="U160" i="4"/>
  <c r="U78" i="4"/>
  <c r="V78" i="4"/>
  <c r="AA78" i="4"/>
  <c r="T78" i="4"/>
  <c r="V128" i="4"/>
  <c r="AA128" i="4"/>
  <c r="T128" i="4"/>
  <c r="U128" i="4"/>
  <c r="T90" i="4"/>
  <c r="AA90" i="4"/>
  <c r="U90" i="4"/>
  <c r="V90" i="4"/>
  <c r="U116" i="4"/>
  <c r="V116" i="4"/>
  <c r="AA116" i="4"/>
  <c r="T116" i="4"/>
  <c r="U173" i="4"/>
  <c r="V173" i="4"/>
  <c r="T173" i="4"/>
  <c r="AA173" i="4"/>
  <c r="V143" i="4"/>
  <c r="U143" i="4"/>
  <c r="AA143" i="4"/>
  <c r="T143" i="4"/>
  <c r="U133" i="4"/>
  <c r="AA133" i="4"/>
  <c r="V133" i="4"/>
  <c r="T133" i="4"/>
  <c r="T167" i="4"/>
  <c r="AA167" i="4"/>
  <c r="U167" i="4"/>
  <c r="V167" i="4"/>
  <c r="U81" i="4"/>
  <c r="V81" i="4"/>
  <c r="T81" i="4"/>
  <c r="AA81" i="4"/>
  <c r="T119" i="4"/>
  <c r="AA119" i="4"/>
  <c r="U119" i="4"/>
  <c r="V119" i="4"/>
  <c r="AA185" i="4"/>
  <c r="V185" i="4"/>
  <c r="T185" i="4"/>
  <c r="U185" i="4"/>
  <c r="U131" i="4"/>
  <c r="V131" i="4"/>
  <c r="AA131" i="4"/>
  <c r="T131" i="4"/>
  <c r="AA91" i="4"/>
  <c r="T91" i="4"/>
  <c r="V91" i="4"/>
  <c r="U91" i="4"/>
  <c r="AA171" i="4"/>
  <c r="T171" i="4"/>
  <c r="V171" i="4"/>
  <c r="U171" i="4"/>
  <c r="V114" i="4"/>
  <c r="T114" i="4"/>
  <c r="U114" i="4"/>
  <c r="AA114" i="4"/>
  <c r="AA187" i="4"/>
  <c r="V187" i="4"/>
  <c r="U187" i="4"/>
  <c r="T187" i="4"/>
  <c r="V80" i="4"/>
  <c r="U80" i="4"/>
  <c r="AA80" i="4"/>
  <c r="T80" i="4"/>
  <c r="V159" i="4"/>
  <c r="U159" i="4"/>
  <c r="T159" i="4"/>
  <c r="AA159" i="4"/>
  <c r="V127" i="4"/>
  <c r="AA127" i="4"/>
  <c r="U127" i="4"/>
  <c r="T127" i="4"/>
  <c r="AA151" i="4"/>
  <c r="T151" i="4"/>
  <c r="V151" i="4"/>
  <c r="U151" i="4"/>
  <c r="U142" i="4"/>
  <c r="V142" i="4"/>
  <c r="AA142" i="4"/>
  <c r="T142" i="4"/>
  <c r="U157" i="4"/>
  <c r="V157" i="4"/>
  <c r="AA157" i="4"/>
  <c r="T157" i="4"/>
  <c r="V98" i="4"/>
  <c r="U98" i="4"/>
  <c r="T98" i="4"/>
  <c r="AA98" i="4"/>
  <c r="U113" i="4"/>
  <c r="T113" i="4"/>
  <c r="AA113" i="4"/>
  <c r="V113" i="4"/>
  <c r="AA89" i="4"/>
  <c r="T89" i="4"/>
  <c r="V89" i="4"/>
  <c r="U89" i="4"/>
  <c r="T169" i="4"/>
  <c r="AA169" i="4"/>
  <c r="V169" i="4"/>
  <c r="U169" i="4"/>
  <c r="T75" i="4"/>
  <c r="V75" i="4"/>
  <c r="U75" i="4"/>
  <c r="AA75" i="4"/>
  <c r="V95" i="4"/>
  <c r="T95" i="4"/>
  <c r="U95" i="4"/>
  <c r="AA95" i="4"/>
  <c r="AA138" i="4"/>
  <c r="T138" i="4"/>
  <c r="U138" i="4"/>
  <c r="V138" i="4"/>
  <c r="AA154" i="4"/>
  <c r="T154" i="4"/>
  <c r="U154" i="4"/>
  <c r="V154" i="4"/>
  <c r="V76" i="4"/>
  <c r="AA76" i="4"/>
  <c r="U76" i="4"/>
  <c r="T76" i="4"/>
  <c r="V176" i="4"/>
  <c r="AA176" i="4"/>
  <c r="T176" i="4"/>
  <c r="U176" i="4"/>
  <c r="U97" i="4"/>
  <c r="T97" i="4"/>
  <c r="AA97" i="4"/>
  <c r="V97" i="4"/>
  <c r="T198" i="4"/>
  <c r="U198" i="4"/>
  <c r="V198" i="4"/>
  <c r="AA198" i="4"/>
  <c r="U197" i="4"/>
  <c r="V197" i="4"/>
  <c r="T197" i="4"/>
  <c r="AA197" i="4"/>
  <c r="V104" i="4"/>
  <c r="AA104" i="4"/>
  <c r="T104" i="4"/>
  <c r="U104" i="4"/>
  <c r="U196" i="4"/>
  <c r="V196" i="4"/>
  <c r="AA196" i="4"/>
  <c r="T196" i="4"/>
  <c r="U84" i="4"/>
  <c r="V84" i="4"/>
  <c r="AA84" i="4"/>
  <c r="T84" i="4"/>
  <c r="V79" i="4"/>
  <c r="T79" i="4"/>
  <c r="U79" i="4"/>
  <c r="AA79" i="4"/>
  <c r="T83" i="4"/>
  <c r="U83" i="4"/>
  <c r="V83" i="4"/>
  <c r="AA83" i="4"/>
  <c r="AA193" i="4"/>
  <c r="V193" i="4"/>
  <c r="U193" i="4"/>
  <c r="T193" i="4"/>
  <c r="V175" i="4"/>
  <c r="T175" i="4"/>
  <c r="AA175" i="4"/>
  <c r="U175" i="4"/>
  <c r="V120" i="4"/>
  <c r="T120" i="4"/>
  <c r="AA120" i="4"/>
  <c r="U120" i="4"/>
  <c r="U179" i="4"/>
  <c r="AA179" i="4"/>
  <c r="V179" i="4"/>
  <c r="T179" i="4"/>
  <c r="AA152" i="4"/>
  <c r="T152" i="4"/>
  <c r="V152" i="4"/>
  <c r="U152" i="4"/>
  <c r="AA153" i="4"/>
  <c r="V153" i="4"/>
  <c r="T153" i="4"/>
  <c r="U153" i="4"/>
  <c r="V94" i="4"/>
  <c r="U94" i="4"/>
  <c r="AA94" i="4"/>
  <c r="T94" i="4"/>
  <c r="V188" i="4"/>
  <c r="AA188" i="4"/>
  <c r="U188" i="4"/>
  <c r="T188" i="4"/>
  <c r="U158" i="4"/>
  <c r="V158" i="4"/>
  <c r="AA158" i="4"/>
  <c r="T158" i="4"/>
  <c r="V88" i="4"/>
  <c r="T88" i="4"/>
  <c r="AA88" i="4"/>
  <c r="U88" i="4"/>
  <c r="U117" i="4"/>
  <c r="AA117" i="4"/>
  <c r="V117" i="4"/>
  <c r="T117" i="4"/>
  <c r="T150" i="4"/>
  <c r="V150" i="4"/>
  <c r="U150" i="4"/>
  <c r="AA150" i="4"/>
  <c r="AA170" i="4"/>
  <c r="T170" i="4"/>
  <c r="U170" i="4"/>
  <c r="V170" i="4"/>
  <c r="V168" i="4"/>
  <c r="AA168" i="4"/>
  <c r="T168" i="4"/>
  <c r="U168" i="4"/>
  <c r="T145" i="4"/>
  <c r="V145" i="4"/>
  <c r="U145" i="4"/>
  <c r="AA145" i="4"/>
  <c r="U77" i="4"/>
  <c r="V77" i="4"/>
  <c r="T77" i="4"/>
  <c r="AA77" i="4"/>
  <c r="U189" i="4"/>
  <c r="V189" i="4"/>
  <c r="T189" i="4"/>
  <c r="AA189" i="4"/>
  <c r="U164" i="4"/>
  <c r="V164" i="4"/>
  <c r="AA164" i="4"/>
  <c r="T164" i="4"/>
  <c r="U146" i="4"/>
  <c r="T146" i="4"/>
  <c r="AA146" i="4"/>
  <c r="V146" i="4"/>
  <c r="V124" i="4"/>
  <c r="AA124" i="4"/>
  <c r="T124" i="4"/>
  <c r="U124" i="4"/>
  <c r="V140" i="4"/>
  <c r="AA140" i="4"/>
  <c r="U140" i="4"/>
  <c r="T140" i="4"/>
  <c r="T161" i="4"/>
  <c r="AA161" i="4"/>
  <c r="V161" i="4"/>
  <c r="U161" i="4"/>
  <c r="U85" i="4"/>
  <c r="AA85" i="4"/>
  <c r="V85" i="4"/>
  <c r="T85" i="4"/>
  <c r="V163" i="4"/>
  <c r="AA163" i="4"/>
  <c r="U163" i="4"/>
  <c r="T163" i="4"/>
  <c r="V115" i="4"/>
  <c r="AA115" i="4"/>
  <c r="U115" i="4"/>
  <c r="T115" i="4"/>
  <c r="T103" i="4"/>
  <c r="AA103" i="4"/>
  <c r="U103" i="4"/>
  <c r="V103" i="4"/>
  <c r="U93" i="4"/>
  <c r="V93" i="4"/>
  <c r="T93" i="4"/>
  <c r="AA93" i="4"/>
  <c r="AA183" i="4"/>
  <c r="T183" i="4"/>
  <c r="U183" i="4"/>
  <c r="V183" i="4"/>
  <c r="V147" i="4"/>
  <c r="U147" i="4"/>
  <c r="AA147" i="4"/>
  <c r="T147" i="4"/>
  <c r="V192" i="4"/>
  <c r="AA192" i="4"/>
  <c r="T192" i="4"/>
  <c r="U192" i="4"/>
  <c r="T162" i="4"/>
  <c r="AA162" i="4"/>
  <c r="U162" i="4"/>
  <c r="V162" i="4"/>
  <c r="T186" i="4"/>
  <c r="AA186" i="4"/>
  <c r="U186" i="4"/>
  <c r="V186" i="4"/>
  <c r="V144" i="4"/>
  <c r="AA144" i="4"/>
  <c r="T144" i="4"/>
  <c r="U144" i="4"/>
  <c r="U180" i="4"/>
  <c r="V180" i="4"/>
  <c r="AA180" i="4"/>
  <c r="T180" i="4"/>
  <c r="U100" i="4"/>
  <c r="T100" i="4"/>
  <c r="V100" i="4"/>
  <c r="AA100" i="4"/>
  <c r="U101" i="4"/>
  <c r="AA101" i="4"/>
  <c r="V101" i="4"/>
  <c r="T101" i="4"/>
  <c r="T134" i="4"/>
  <c r="V134" i="4"/>
  <c r="U134" i="4"/>
  <c r="AA134" i="4"/>
  <c r="V174" i="4"/>
  <c r="U174" i="4"/>
  <c r="AA174" i="4"/>
  <c r="T174" i="4"/>
  <c r="T129" i="4"/>
  <c r="U129" i="4"/>
  <c r="AA129" i="4"/>
  <c r="V129" i="4"/>
  <c r="U109" i="4"/>
  <c r="V109" i="4"/>
  <c r="AA109" i="4"/>
  <c r="T109" i="4"/>
  <c r="AA184" i="4"/>
  <c r="V184" i="4"/>
  <c r="T184" i="4"/>
  <c r="U184" i="4"/>
  <c r="U165" i="4"/>
  <c r="V165" i="4"/>
  <c r="T165" i="4"/>
  <c r="AA165" i="4"/>
  <c r="V194" i="4"/>
  <c r="AA194" i="4"/>
  <c r="U194" i="4"/>
  <c r="T194" i="4"/>
  <c r="U125" i="4"/>
  <c r="V125" i="4"/>
  <c r="AA125" i="4"/>
  <c r="T125" i="4"/>
  <c r="AA155" i="4"/>
  <c r="V155" i="4"/>
  <c r="U155" i="4"/>
  <c r="T155" i="4"/>
  <c r="AA123" i="4"/>
  <c r="V123" i="4"/>
  <c r="U123" i="4"/>
  <c r="T123" i="4"/>
  <c r="V111" i="4"/>
  <c r="U111" i="4"/>
  <c r="T111" i="4"/>
  <c r="AA111" i="4"/>
  <c r="V126" i="4"/>
  <c r="U126" i="4"/>
  <c r="AA126" i="4"/>
  <c r="T126" i="4"/>
  <c r="V191" i="4"/>
  <c r="AA191" i="4"/>
  <c r="T191" i="4"/>
  <c r="U191" i="4"/>
  <c r="AA87" i="4"/>
  <c r="T87" i="4"/>
  <c r="U87" i="4"/>
  <c r="V87" i="4"/>
  <c r="U149" i="4"/>
  <c r="AA149" i="4"/>
  <c r="V149" i="4"/>
  <c r="T149" i="4"/>
  <c r="V112" i="4"/>
  <c r="U112" i="4"/>
  <c r="AA112" i="4"/>
  <c r="T112" i="4"/>
  <c r="U110" i="4"/>
  <c r="V110" i="4"/>
  <c r="AA110" i="4"/>
  <c r="T110" i="4"/>
  <c r="V190" i="4"/>
  <c r="U190" i="4"/>
  <c r="T190" i="4"/>
  <c r="AA190" i="4"/>
  <c r="V137" i="4"/>
  <c r="T137" i="4"/>
  <c r="AA137" i="4"/>
  <c r="U137" i="4"/>
  <c r="V172" i="4"/>
  <c r="AA172" i="4"/>
  <c r="U172" i="4"/>
  <c r="T172" i="4"/>
  <c r="AA139" i="4"/>
  <c r="V139" i="4"/>
  <c r="U139" i="4"/>
  <c r="T139" i="4"/>
  <c r="AA135" i="4"/>
  <c r="T135" i="4"/>
  <c r="V135" i="4"/>
  <c r="U135" i="4"/>
  <c r="U178" i="4"/>
  <c r="AA178" i="4"/>
  <c r="T178" i="4"/>
  <c r="V178" i="4"/>
  <c r="V96" i="4"/>
  <c r="U96" i="4"/>
  <c r="AA96" i="4"/>
  <c r="T96" i="4"/>
  <c r="V130" i="4"/>
  <c r="T130" i="4"/>
  <c r="AA130" i="4"/>
  <c r="U130" i="4"/>
  <c r="V156" i="4"/>
  <c r="AA156" i="4"/>
  <c r="U156" i="4"/>
  <c r="T156" i="4"/>
  <c r="V121" i="4"/>
  <c r="AA121" i="4"/>
  <c r="T121" i="4"/>
  <c r="U121" i="4"/>
  <c r="V99" i="4"/>
  <c r="AA99" i="4"/>
  <c r="U99" i="4"/>
  <c r="T99" i="4"/>
  <c r="V108" i="4"/>
  <c r="AA108" i="4"/>
  <c r="U108" i="4"/>
  <c r="T108" i="4"/>
  <c r="V92" i="4"/>
  <c r="U92" i="4"/>
  <c r="AA92" i="4"/>
  <c r="T92" i="4"/>
  <c r="T106" i="4"/>
  <c r="AA106" i="4"/>
  <c r="U106" i="4"/>
  <c r="V106" i="4"/>
  <c r="V82" i="4"/>
  <c r="T82" i="4"/>
  <c r="AA82" i="4"/>
  <c r="U82" i="4"/>
  <c r="T182" i="4"/>
  <c r="V182" i="4"/>
  <c r="U182" i="4"/>
  <c r="AA182" i="4"/>
  <c r="U141" i="4"/>
  <c r="V141" i="4"/>
  <c r="T141" i="4"/>
  <c r="AA141" i="4"/>
  <c r="T136" i="4"/>
  <c r="V136" i="4"/>
  <c r="AA136" i="4"/>
  <c r="U136" i="4"/>
  <c r="T166" i="4"/>
  <c r="V166" i="4"/>
  <c r="AA166" i="4"/>
  <c r="U166" i="4"/>
  <c r="U177" i="4"/>
  <c r="AA177" i="4"/>
  <c r="V177" i="4"/>
  <c r="T177" i="4"/>
  <c r="V195" i="4"/>
  <c r="T195" i="4"/>
  <c r="AA195" i="4"/>
  <c r="U195" i="4"/>
  <c r="U132" i="4"/>
  <c r="V132" i="4"/>
  <c r="AA132" i="4"/>
  <c r="T132" i="4"/>
  <c r="T118" i="4"/>
  <c r="V118" i="4"/>
  <c r="U118" i="4"/>
  <c r="AA118" i="4"/>
  <c r="T102" i="4"/>
  <c r="V102" i="4"/>
  <c r="AA102" i="4"/>
  <c r="U102" i="4"/>
  <c r="U181" i="4"/>
  <c r="V181" i="4"/>
  <c r="T181" i="4"/>
  <c r="AA181" i="4"/>
  <c r="T86" i="4"/>
  <c r="AA86" i="4"/>
  <c r="V86" i="4"/>
  <c r="U86" i="4"/>
  <c r="T122" i="4"/>
  <c r="AA122" i="4"/>
  <c r="U122" i="4"/>
  <c r="V122" i="4"/>
  <c r="U148" i="4"/>
  <c r="V148" i="4"/>
  <c r="AA148" i="4"/>
  <c r="T148" i="4"/>
  <c r="AA107" i="4"/>
  <c r="T107" i="4"/>
  <c r="V107" i="4"/>
  <c r="U107" i="4"/>
  <c r="G35" i="4"/>
  <c r="I42" i="4"/>
  <c r="H42" i="4"/>
  <c r="J35" i="4"/>
  <c r="H35" i="4"/>
  <c r="G42" i="4"/>
  <c r="I35" i="4"/>
  <c r="N92" i="4"/>
  <c r="O92" i="4" s="1"/>
  <c r="E2" i="2"/>
  <c r="F10" i="2"/>
  <c r="F12" i="2"/>
  <c r="F8" i="2"/>
  <c r="F18" i="4"/>
  <c r="F30" i="4" s="1"/>
  <c r="Q192" i="4"/>
  <c r="E10" i="2"/>
  <c r="Q190" i="4"/>
  <c r="Q164" i="4"/>
  <c r="Q171" i="4"/>
  <c r="Q188" i="4"/>
  <c r="E5" i="2"/>
  <c r="Q183" i="4"/>
  <c r="Q161" i="4"/>
  <c r="Q180" i="4"/>
  <c r="Q173" i="4"/>
  <c r="Q172" i="4"/>
  <c r="Q177" i="4"/>
  <c r="Q163" i="4"/>
  <c r="Q176" i="4"/>
  <c r="Q166" i="4"/>
  <c r="Q184" i="4"/>
  <c r="Q178" i="4"/>
  <c r="Q162" i="4"/>
  <c r="Q179" i="4"/>
  <c r="Q181" i="4"/>
  <c r="Q191" i="4"/>
  <c r="Q196" i="4"/>
  <c r="Q174" i="4"/>
  <c r="Q186" i="4"/>
  <c r="F11" i="2"/>
  <c r="Q175" i="4"/>
  <c r="Q167" i="4"/>
  <c r="F2" i="2"/>
  <c r="Q168" i="4"/>
  <c r="Q189" i="4"/>
  <c r="Q194" i="4"/>
  <c r="Q187" i="4"/>
  <c r="Q97" i="4"/>
  <c r="E9" i="2"/>
  <c r="E12" i="2"/>
  <c r="E7" i="2"/>
  <c r="E11" i="2"/>
  <c r="Q170" i="4"/>
  <c r="Q165" i="4"/>
  <c r="Q182" i="4"/>
  <c r="Q185" i="4"/>
  <c r="F4" i="2"/>
  <c r="E4" i="2"/>
  <c r="Q195" i="4"/>
  <c r="F6" i="2"/>
  <c r="Q160" i="4"/>
  <c r="F9" i="2"/>
  <c r="F3" i="2"/>
  <c r="F5" i="2"/>
  <c r="Q169" i="4"/>
  <c r="E6" i="2"/>
  <c r="E3" i="2"/>
  <c r="F7" i="2"/>
  <c r="E8" i="2"/>
  <c r="I16" i="4"/>
  <c r="H16" i="4"/>
  <c r="G16" i="4"/>
  <c r="F17" i="4"/>
  <c r="N104" i="4"/>
  <c r="O104" i="4" s="1"/>
  <c r="N184" i="4"/>
  <c r="O184" i="4" s="1"/>
  <c r="N140" i="4"/>
  <c r="O140" i="4" s="1"/>
  <c r="N190" i="4"/>
  <c r="O190" i="4" s="1"/>
  <c r="N121" i="4"/>
  <c r="O121" i="4" s="1"/>
  <c r="N162" i="4"/>
  <c r="O162" i="4" s="1"/>
  <c r="N154" i="4"/>
  <c r="O154" i="4" s="1"/>
  <c r="N195" i="4"/>
  <c r="N81" i="4"/>
  <c r="O81" i="4" s="1"/>
  <c r="N164" i="4"/>
  <c r="O164" i="4" s="1"/>
  <c r="N155" i="4"/>
  <c r="O155" i="4" s="1"/>
  <c r="N133" i="4"/>
  <c r="O133" i="4" s="1"/>
  <c r="N99" i="4"/>
  <c r="N198" i="4"/>
  <c r="P198" i="4" s="1"/>
  <c r="N182" i="4"/>
  <c r="O182" i="4" s="1"/>
  <c r="N141" i="4"/>
  <c r="O141" i="4" s="1"/>
  <c r="N187" i="4"/>
  <c r="O187" i="4" s="1"/>
  <c r="N142" i="4"/>
  <c r="O142" i="4" s="1"/>
  <c r="N165" i="4"/>
  <c r="O165" i="4" s="1"/>
  <c r="N150" i="4"/>
  <c r="O150" i="4" s="1"/>
  <c r="N91" i="4"/>
  <c r="O91" i="4" s="1"/>
  <c r="N98" i="4"/>
  <c r="O98" i="4" s="1"/>
  <c r="N95" i="4"/>
  <c r="O95" i="4" s="1"/>
  <c r="N169" i="4"/>
  <c r="O169" i="4" s="1"/>
  <c r="N194" i="4"/>
  <c r="O194" i="4" s="1"/>
  <c r="N147" i="4"/>
  <c r="N114" i="4"/>
  <c r="O114" i="4" s="1"/>
  <c r="N174" i="4"/>
  <c r="O174" i="4" s="1"/>
  <c r="N80" i="4"/>
  <c r="O80" i="4" s="1"/>
  <c r="N161" i="4"/>
  <c r="O161" i="4" s="1"/>
  <c r="N88" i="4"/>
  <c r="O88" i="4" s="1"/>
  <c r="N149" i="4"/>
  <c r="O149" i="4" s="1"/>
  <c r="N110" i="4"/>
  <c r="O110" i="4" s="1"/>
  <c r="N100" i="4"/>
  <c r="O100" i="4" s="1"/>
  <c r="N101" i="4"/>
  <c r="O101" i="4" s="1"/>
  <c r="N113" i="4"/>
  <c r="O113" i="4" s="1"/>
  <c r="N96" i="4"/>
  <c r="O96" i="4" s="1"/>
  <c r="N89" i="4"/>
  <c r="O89" i="4" s="1"/>
  <c r="N78" i="4"/>
  <c r="O78" i="4" s="1"/>
  <c r="N124" i="4"/>
  <c r="O124" i="4" s="1"/>
  <c r="N85" i="4"/>
  <c r="O85" i="4" s="1"/>
  <c r="N158" i="4"/>
  <c r="O158" i="4" s="1"/>
  <c r="N87" i="4"/>
  <c r="N120" i="4"/>
  <c r="O120" i="4" s="1"/>
  <c r="N119" i="4"/>
  <c r="O119" i="4" s="1"/>
  <c r="N139" i="4"/>
  <c r="O139" i="4" s="1"/>
  <c r="N118" i="4"/>
  <c r="O118" i="4" s="1"/>
  <c r="N102" i="4"/>
  <c r="O102" i="4" s="1"/>
  <c r="N181" i="4"/>
  <c r="O181" i="4" s="1"/>
  <c r="N189" i="4"/>
  <c r="O189" i="4" s="1"/>
  <c r="N109" i="4"/>
  <c r="O109" i="4" s="1"/>
  <c r="N97" i="4"/>
  <c r="O97" i="4" s="1"/>
  <c r="Q130" i="4"/>
  <c r="N129" i="4"/>
  <c r="O129" i="4" s="1"/>
  <c r="N128" i="4"/>
  <c r="O128" i="4" s="1"/>
  <c r="N107" i="4"/>
  <c r="O107" i="4" s="1"/>
  <c r="Q147" i="4"/>
  <c r="G199" i="4"/>
  <c r="Q93" i="4"/>
  <c r="Q156" i="4"/>
  <c r="N108" i="4"/>
  <c r="O108" i="4" s="1"/>
  <c r="Q108" i="4"/>
  <c r="Q92" i="4"/>
  <c r="Q152" i="4"/>
  <c r="Q150" i="4"/>
  <c r="Q106" i="4"/>
  <c r="Q98" i="4"/>
  <c r="N134" i="4"/>
  <c r="O134" i="4" s="1"/>
  <c r="N193" i="4"/>
  <c r="O193" i="4" s="1"/>
  <c r="N168" i="4"/>
  <c r="O168" i="4" s="1"/>
  <c r="N137" i="4"/>
  <c r="O137" i="4" s="1"/>
  <c r="N153" i="4"/>
  <c r="O153" i="4" s="1"/>
  <c r="N125" i="4"/>
  <c r="O125" i="4" s="1"/>
  <c r="N177" i="4"/>
  <c r="O177" i="4" s="1"/>
  <c r="N185" i="4"/>
  <c r="O185" i="4" s="1"/>
  <c r="Q137" i="4"/>
  <c r="Q128" i="4"/>
  <c r="Q146" i="4"/>
  <c r="Q90" i="4"/>
  <c r="Q129" i="4"/>
  <c r="Q134" i="4"/>
  <c r="Q131" i="4"/>
  <c r="Q145" i="4"/>
  <c r="N79" i="4"/>
  <c r="O79" i="4" s="1"/>
  <c r="N156" i="4"/>
  <c r="O156" i="4" s="1"/>
  <c r="N159" i="4"/>
  <c r="N116" i="4"/>
  <c r="O116" i="4" s="1"/>
  <c r="N145" i="4"/>
  <c r="O145" i="4" s="1"/>
  <c r="Q116" i="4"/>
  <c r="N148" i="4"/>
  <c r="O148" i="4" s="1"/>
  <c r="N83" i="4"/>
  <c r="O83" i="4" s="1"/>
  <c r="N170" i="4"/>
  <c r="O170" i="4" s="1"/>
  <c r="R92" i="4"/>
  <c r="Q82" i="4"/>
  <c r="Q95" i="4"/>
  <c r="Q158" i="4"/>
  <c r="Q102" i="4"/>
  <c r="Q104" i="4"/>
  <c r="Q84" i="4"/>
  <c r="R124" i="4"/>
  <c r="Q88" i="4"/>
  <c r="Q141" i="4"/>
  <c r="N122" i="4"/>
  <c r="O122" i="4" s="1"/>
  <c r="Q121" i="4"/>
  <c r="Q107" i="4"/>
  <c r="Q149" i="4"/>
  <c r="Q139" i="4"/>
  <c r="Q127" i="4"/>
  <c r="Q85" i="4"/>
  <c r="N130" i="4"/>
  <c r="O130" i="4" s="1"/>
  <c r="Q75" i="4"/>
  <c r="Q114" i="4"/>
  <c r="Q154" i="4"/>
  <c r="Q135" i="4"/>
  <c r="Q112" i="4"/>
  <c r="Q113" i="4"/>
  <c r="Q159" i="4"/>
  <c r="Q138" i="4"/>
  <c r="Q103" i="4"/>
  <c r="Q100" i="4"/>
  <c r="Q155" i="4"/>
  <c r="Q133" i="4"/>
  <c r="Q124" i="4"/>
  <c r="Q101" i="4"/>
  <c r="Q118" i="4"/>
  <c r="Q83" i="4"/>
  <c r="Q94" i="4"/>
  <c r="Q153" i="4"/>
  <c r="R179" i="4"/>
  <c r="Q87" i="4"/>
  <c r="Q120" i="4"/>
  <c r="R197" i="4"/>
  <c r="Q122" i="4"/>
  <c r="Q126" i="4"/>
  <c r="Q76" i="4"/>
  <c r="Q78" i="4"/>
  <c r="Q77" i="4"/>
  <c r="Q109" i="4"/>
  <c r="Q119" i="4"/>
  <c r="Q80" i="4"/>
  <c r="Q110" i="4"/>
  <c r="Q125" i="4"/>
  <c r="R145" i="4"/>
  <c r="R136" i="4"/>
  <c r="N197" i="4"/>
  <c r="R146" i="4"/>
  <c r="R176" i="4"/>
  <c r="R98" i="4"/>
  <c r="R167" i="4"/>
  <c r="R198" i="4"/>
  <c r="R166" i="4"/>
  <c r="R122" i="4"/>
  <c r="Q132" i="4"/>
  <c r="Q99" i="4"/>
  <c r="R100" i="4"/>
  <c r="R111" i="4"/>
  <c r="Q151" i="4"/>
  <c r="Q143" i="4"/>
  <c r="Q117" i="4"/>
  <c r="Q86" i="4"/>
  <c r="Q148" i="4"/>
  <c r="Q144" i="4"/>
  <c r="Q81" i="4"/>
  <c r="Q111" i="4"/>
  <c r="R132" i="4"/>
  <c r="N103" i="4"/>
  <c r="O103" i="4" s="1"/>
  <c r="Q142" i="4"/>
  <c r="Q115" i="4"/>
  <c r="Q91" i="4"/>
  <c r="Q140" i="4"/>
  <c r="Q79" i="4"/>
  <c r="Q96" i="4"/>
  <c r="R186" i="4"/>
  <c r="Q123" i="4"/>
  <c r="Q136" i="4"/>
  <c r="F199" i="4"/>
  <c r="Q157" i="4"/>
  <c r="N167" i="4"/>
  <c r="O167" i="4" s="1"/>
  <c r="Q89" i="4"/>
  <c r="Q105" i="4"/>
  <c r="N173" i="4"/>
  <c r="O173" i="4" s="1"/>
  <c r="R153" i="4"/>
  <c r="R157" i="4"/>
  <c r="R135" i="4"/>
  <c r="R177" i="4"/>
  <c r="R113" i="4"/>
  <c r="R196" i="4"/>
  <c r="R189" i="4"/>
  <c r="N179" i="4"/>
  <c r="O179" i="4" s="1"/>
  <c r="N192" i="4"/>
  <c r="O192" i="4" s="1"/>
  <c r="N171" i="4"/>
  <c r="R162" i="4"/>
  <c r="R84" i="4"/>
  <c r="R105" i="4"/>
  <c r="R114" i="4"/>
  <c r="R191" i="4"/>
  <c r="N191" i="4"/>
  <c r="O191" i="4" s="1"/>
  <c r="R173" i="4"/>
  <c r="N196" i="4"/>
  <c r="O196" i="4" s="1"/>
  <c r="R195" i="4"/>
  <c r="R106" i="4"/>
  <c r="R183" i="4"/>
  <c r="N160" i="4"/>
  <c r="O160" i="4" s="1"/>
  <c r="N93" i="4"/>
  <c r="O93" i="4" s="1"/>
  <c r="R147" i="4"/>
  <c r="N143" i="4"/>
  <c r="O143" i="4" s="1"/>
  <c r="N135" i="4"/>
  <c r="N146" i="4"/>
  <c r="O146" i="4" s="1"/>
  <c r="R164" i="4"/>
  <c r="R101" i="4"/>
  <c r="R90" i="4"/>
  <c r="R158" i="4"/>
  <c r="R112" i="4"/>
  <c r="N131" i="4"/>
  <c r="O131" i="4" s="1"/>
  <c r="N126" i="4"/>
  <c r="O126" i="4" s="1"/>
  <c r="N127" i="4"/>
  <c r="O127" i="4" s="1"/>
  <c r="R144" i="4"/>
  <c r="R121" i="4"/>
  <c r="R163" i="4"/>
  <c r="N105" i="4"/>
  <c r="O105" i="4" s="1"/>
  <c r="R109" i="4"/>
  <c r="R116" i="4"/>
  <c r="R117" i="4"/>
  <c r="R187" i="4"/>
  <c r="R181" i="4"/>
  <c r="R87" i="4"/>
  <c r="R93" i="4"/>
  <c r="R155" i="4"/>
  <c r="R194" i="4"/>
  <c r="R172" i="4"/>
  <c r="R165" i="4"/>
  <c r="R169" i="4"/>
  <c r="R141" i="4"/>
  <c r="N112" i="4"/>
  <c r="O112" i="4" s="1"/>
  <c r="N152" i="4"/>
  <c r="O152" i="4" s="1"/>
  <c r="R156" i="4"/>
  <c r="R140" i="4"/>
  <c r="N86" i="4"/>
  <c r="O86" i="4" s="1"/>
  <c r="N166" i="4"/>
  <c r="O166" i="4" s="1"/>
  <c r="R171" i="4"/>
  <c r="R182" i="4"/>
  <c r="R161" i="4"/>
  <c r="R149" i="4"/>
  <c r="R129" i="4"/>
  <c r="R151" i="4"/>
  <c r="R159" i="4"/>
  <c r="R152" i="4"/>
  <c r="R160" i="4"/>
  <c r="R138" i="4"/>
  <c r="R168" i="4"/>
  <c r="R130" i="4"/>
  <c r="R88" i="4"/>
  <c r="R127" i="4"/>
  <c r="R102" i="4"/>
  <c r="R139" i="4"/>
  <c r="R89" i="4"/>
  <c r="N175" i="4"/>
  <c r="O175" i="4" s="1"/>
  <c r="N172" i="4"/>
  <c r="O172" i="4" s="1"/>
  <c r="N84" i="4"/>
  <c r="O84" i="4" s="1"/>
  <c r="R120" i="4"/>
  <c r="N90" i="4"/>
  <c r="O90" i="4" s="1"/>
  <c r="N115" i="4"/>
  <c r="O115" i="4" s="1"/>
  <c r="R143" i="4"/>
  <c r="R97" i="4"/>
  <c r="R126" i="4"/>
  <c r="N157" i="4"/>
  <c r="O157" i="4" s="1"/>
  <c r="N151" i="4"/>
  <c r="O151" i="4" s="1"/>
  <c r="N132" i="4"/>
  <c r="O132" i="4" s="1"/>
  <c r="N117" i="4"/>
  <c r="O117" i="4" s="1"/>
  <c r="R131" i="4"/>
  <c r="R154" i="4"/>
  <c r="R133" i="4"/>
  <c r="N94" i="4"/>
  <c r="O94" i="4" s="1"/>
  <c r="R76" i="4"/>
  <c r="R110" i="4"/>
  <c r="R123" i="4"/>
  <c r="R193" i="4"/>
  <c r="R119" i="4"/>
  <c r="R188" i="4"/>
  <c r="R150" i="4"/>
  <c r="R94" i="4"/>
  <c r="R118" i="4"/>
  <c r="R103" i="4"/>
  <c r="R178" i="4"/>
  <c r="N176" i="4"/>
  <c r="O176" i="4" s="1"/>
  <c r="R184" i="4"/>
  <c r="R107" i="4"/>
  <c r="R125" i="4"/>
  <c r="R175" i="4"/>
  <c r="R148" i="4"/>
  <c r="N82" i="4"/>
  <c r="N180" i="4"/>
  <c r="O180" i="4" s="1"/>
  <c r="N136" i="4"/>
  <c r="O136" i="4" s="1"/>
  <c r="N111" i="4"/>
  <c r="R99" i="4"/>
  <c r="R85" i="4"/>
  <c r="R180" i="4"/>
  <c r="R170" i="4"/>
  <c r="R128" i="4"/>
  <c r="N188" i="4"/>
  <c r="O188" i="4" s="1"/>
  <c r="N123" i="4"/>
  <c r="N138" i="4"/>
  <c r="O138" i="4" s="1"/>
  <c r="N183" i="4"/>
  <c r="N77" i="4"/>
  <c r="O77" i="4" s="1"/>
  <c r="R192" i="4"/>
  <c r="R115" i="4"/>
  <c r="R108" i="4"/>
  <c r="R104" i="4"/>
  <c r="N163" i="4"/>
  <c r="O163" i="4" s="1"/>
  <c r="R185" i="4"/>
  <c r="R86" i="4"/>
  <c r="R95" i="4"/>
  <c r="N76" i="4"/>
  <c r="O76" i="4" s="1"/>
  <c r="R137" i="4"/>
  <c r="R91" i="4"/>
  <c r="R190" i="4"/>
  <c r="R174" i="4"/>
  <c r="R134" i="4"/>
  <c r="R142" i="4"/>
  <c r="R96" i="4"/>
  <c r="N75" i="4"/>
  <c r="N178" i="4"/>
  <c r="O178" i="4" s="1"/>
  <c r="N186" i="4"/>
  <c r="O186" i="4" s="1"/>
  <c r="N144" i="4"/>
  <c r="O144" i="4" s="1"/>
  <c r="N106" i="4"/>
  <c r="O106" i="4" s="1"/>
  <c r="R79" i="4"/>
  <c r="R77" i="4"/>
  <c r="M199" i="4"/>
  <c r="R75" i="4"/>
  <c r="R81" i="4"/>
  <c r="R83" i="4"/>
  <c r="R78" i="4"/>
  <c r="R82" i="4"/>
  <c r="R80" i="4"/>
  <c r="P193" i="9" l="1"/>
  <c r="P195" i="9"/>
  <c r="F7" i="9"/>
  <c r="H30" i="9"/>
  <c r="G30" i="9"/>
  <c r="F30" i="9"/>
  <c r="F37" i="9"/>
  <c r="G18" i="9"/>
  <c r="I30" i="9"/>
  <c r="F19" i="9"/>
  <c r="F20" i="9" s="1"/>
  <c r="P100" i="9"/>
  <c r="P84" i="9"/>
  <c r="P147" i="9"/>
  <c r="F29" i="9"/>
  <c r="J49" i="9" s="1"/>
  <c r="P97" i="9"/>
  <c r="P112" i="9"/>
  <c r="P103" i="9"/>
  <c r="P91" i="9"/>
  <c r="P137" i="9"/>
  <c r="P152" i="9"/>
  <c r="P141" i="9"/>
  <c r="P131" i="9"/>
  <c r="P191" i="9"/>
  <c r="P164" i="9"/>
  <c r="P185" i="9"/>
  <c r="N199" i="9"/>
  <c r="P117" i="9"/>
  <c r="P99" i="9"/>
  <c r="P126" i="9"/>
  <c r="P139" i="9"/>
  <c r="F48" i="9"/>
  <c r="P136" i="9"/>
  <c r="P155" i="9"/>
  <c r="O174" i="9"/>
  <c r="P174" i="9"/>
  <c r="P172" i="9"/>
  <c r="P179" i="9"/>
  <c r="P148" i="9"/>
  <c r="P98" i="9"/>
  <c r="P83" i="9"/>
  <c r="P142" i="9"/>
  <c r="O132" i="9"/>
  <c r="P132" i="9"/>
  <c r="P128" i="9"/>
  <c r="P130" i="9"/>
  <c r="P125" i="9"/>
  <c r="P127" i="9"/>
  <c r="Y199" i="9"/>
  <c r="P178" i="9"/>
  <c r="O169" i="9"/>
  <c r="P169" i="9"/>
  <c r="P166" i="9"/>
  <c r="P180" i="9"/>
  <c r="P114" i="9"/>
  <c r="P79" i="9"/>
  <c r="P82" i="9"/>
  <c r="O88" i="9"/>
  <c r="P88" i="9"/>
  <c r="P86" i="9"/>
  <c r="P85" i="9"/>
  <c r="P87" i="9"/>
  <c r="P119" i="9"/>
  <c r="P94" i="9"/>
  <c r="P162" i="9"/>
  <c r="P146" i="9"/>
  <c r="O146" i="9"/>
  <c r="P144" i="9"/>
  <c r="P143" i="9"/>
  <c r="P145" i="9"/>
  <c r="P171" i="9"/>
  <c r="P115" i="9"/>
  <c r="P129" i="9"/>
  <c r="P163" i="9"/>
  <c r="P118" i="9"/>
  <c r="P89" i="9"/>
  <c r="P150" i="9"/>
  <c r="P123" i="9"/>
  <c r="I36" i="9"/>
  <c r="V199" i="9"/>
  <c r="I48" i="9"/>
  <c r="I29" i="9"/>
  <c r="I21" i="9" a="1"/>
  <c r="I21" i="9" s="1"/>
  <c r="I26" i="9" a="1"/>
  <c r="I26" i="9" s="1"/>
  <c r="W199" i="9"/>
  <c r="O95" i="9"/>
  <c r="P95" i="9"/>
  <c r="P108" i="9"/>
  <c r="P182" i="9"/>
  <c r="P93" i="9"/>
  <c r="P105" i="9"/>
  <c r="P175" i="9"/>
  <c r="U199" i="9"/>
  <c r="H48" i="9"/>
  <c r="H29" i="9"/>
  <c r="H26" i="9" a="1"/>
  <c r="H26" i="9" s="1"/>
  <c r="H21" i="9" a="1"/>
  <c r="H21" i="9" s="1"/>
  <c r="P153" i="9"/>
  <c r="P92" i="9"/>
  <c r="P173" i="9"/>
  <c r="P90" i="9"/>
  <c r="P176" i="9"/>
  <c r="P124" i="9"/>
  <c r="P157" i="9"/>
  <c r="O81" i="9"/>
  <c r="P81" i="9"/>
  <c r="Z199" i="9"/>
  <c r="O187" i="9"/>
  <c r="P187" i="9"/>
  <c r="P165" i="9"/>
  <c r="P135" i="9"/>
  <c r="P133" i="9"/>
  <c r="P167" i="9"/>
  <c r="T199" i="9"/>
  <c r="G48" i="9"/>
  <c r="G29" i="9"/>
  <c r="G26" i="9" a="1"/>
  <c r="G26" i="9" s="1"/>
  <c r="G21" i="9" a="1"/>
  <c r="G21" i="9" s="1"/>
  <c r="X199" i="9"/>
  <c r="P181" i="9"/>
  <c r="P134" i="9"/>
  <c r="P168" i="9"/>
  <c r="P78" i="9"/>
  <c r="P140" i="9"/>
  <c r="F49" i="9"/>
  <c r="P120" i="9"/>
  <c r="AA199" i="9"/>
  <c r="J48" i="9"/>
  <c r="P122" i="9"/>
  <c r="O161" i="9"/>
  <c r="P161" i="9"/>
  <c r="P170" i="9"/>
  <c r="O190" i="9"/>
  <c r="P190" i="9"/>
  <c r="O102" i="9"/>
  <c r="P102" i="9"/>
  <c r="P121" i="9"/>
  <c r="P109" i="9"/>
  <c r="P104" i="9"/>
  <c r="F21" i="9" a="1"/>
  <c r="F21" i="9" s="1"/>
  <c r="P101" i="9"/>
  <c r="P96" i="9"/>
  <c r="F26" i="9" a="1"/>
  <c r="F26" i="9" s="1"/>
  <c r="P106" i="9"/>
  <c r="P186" i="9"/>
  <c r="P151" i="9"/>
  <c r="O184" i="9"/>
  <c r="P184" i="9"/>
  <c r="O177" i="9"/>
  <c r="P177" i="9"/>
  <c r="H36" i="9"/>
  <c r="P80" i="9"/>
  <c r="P111" i="9"/>
  <c r="O77" i="9"/>
  <c r="P77" i="9"/>
  <c r="P76" i="9"/>
  <c r="P75" i="9"/>
  <c r="P188" i="9"/>
  <c r="P189" i="9"/>
  <c r="P183" i="9"/>
  <c r="G36" i="9"/>
  <c r="O192" i="9"/>
  <c r="P192" i="9"/>
  <c r="O116" i="9"/>
  <c r="P116" i="9"/>
  <c r="P113" i="9"/>
  <c r="P107" i="9"/>
  <c r="P110" i="9"/>
  <c r="P154" i="9"/>
  <c r="P149" i="9"/>
  <c r="O160" i="9"/>
  <c r="P160" i="9"/>
  <c r="P159" i="9"/>
  <c r="P156" i="9"/>
  <c r="P158" i="9"/>
  <c r="P138" i="9"/>
  <c r="G21" i="4" a="1"/>
  <c r="G21" i="4" s="1"/>
  <c r="I21" i="4" a="1"/>
  <c r="I21" i="4" s="1"/>
  <c r="F19" i="4"/>
  <c r="F36" i="4" s="1"/>
  <c r="F37" i="4"/>
  <c r="G18" i="4"/>
  <c r="H18" i="4" s="1"/>
  <c r="I18" i="4" s="1"/>
  <c r="I19" i="4" s="1"/>
  <c r="I20" i="4" s="1"/>
  <c r="G30" i="4"/>
  <c r="H30" i="4"/>
  <c r="I30" i="4"/>
  <c r="J36" i="4"/>
  <c r="F20" i="4"/>
  <c r="O183" i="4"/>
  <c r="G11" i="2"/>
  <c r="O123" i="4"/>
  <c r="G6" i="2"/>
  <c r="O135" i="4"/>
  <c r="G7" i="2"/>
  <c r="O171" i="4"/>
  <c r="G10" i="2"/>
  <c r="O87" i="4"/>
  <c r="G3" i="2"/>
  <c r="U199" i="4"/>
  <c r="V199" i="4"/>
  <c r="O195" i="4"/>
  <c r="G12" i="2"/>
  <c r="T199" i="4"/>
  <c r="G26" i="4" a="1"/>
  <c r="G26" i="4" s="1"/>
  <c r="AA199" i="4"/>
  <c r="O99" i="4"/>
  <c r="G4" i="2"/>
  <c r="O111" i="4"/>
  <c r="G5" i="2"/>
  <c r="G2" i="2"/>
  <c r="F21" i="4" a="1"/>
  <c r="F21" i="4" s="1"/>
  <c r="F26" i="4" a="1"/>
  <c r="F26" i="4" s="1"/>
  <c r="O159" i="4"/>
  <c r="G9" i="2"/>
  <c r="O147" i="4"/>
  <c r="G8" i="2"/>
  <c r="G17" i="4"/>
  <c r="G23" i="4"/>
  <c r="H23" i="4"/>
  <c r="H17" i="4"/>
  <c r="I23" i="4"/>
  <c r="I17" i="4"/>
  <c r="G48" i="4"/>
  <c r="J48" i="4"/>
  <c r="I29" i="4"/>
  <c r="I26" i="4" a="1"/>
  <c r="I26" i="4" s="1"/>
  <c r="H48" i="4"/>
  <c r="H26" i="4" a="1"/>
  <c r="H26" i="4" s="1"/>
  <c r="H21" i="4" a="1"/>
  <c r="H21" i="4" s="1"/>
  <c r="H29" i="4"/>
  <c r="I48" i="4"/>
  <c r="G29" i="4"/>
  <c r="F48" i="4"/>
  <c r="F29" i="4"/>
  <c r="O198" i="4"/>
  <c r="O82" i="4"/>
  <c r="O75" i="4"/>
  <c r="P197" i="4"/>
  <c r="O197" i="4"/>
  <c r="P89" i="4"/>
  <c r="P193" i="4"/>
  <c r="P119" i="4"/>
  <c r="P107" i="4"/>
  <c r="P161" i="4"/>
  <c r="P87" i="4"/>
  <c r="P80" i="4"/>
  <c r="P109" i="4"/>
  <c r="P145" i="4"/>
  <c r="P98" i="4"/>
  <c r="P153" i="4"/>
  <c r="P108" i="4"/>
  <c r="P186" i="4"/>
  <c r="P78" i="4"/>
  <c r="P91" i="4"/>
  <c r="P76" i="4"/>
  <c r="P129" i="4"/>
  <c r="P181" i="4"/>
  <c r="P169" i="4"/>
  <c r="P170" i="4"/>
  <c r="P171" i="4"/>
  <c r="P79" i="4"/>
  <c r="P134" i="4"/>
  <c r="P133" i="4"/>
  <c r="P135" i="4"/>
  <c r="P141" i="4"/>
  <c r="P158" i="4"/>
  <c r="P106" i="4"/>
  <c r="P136" i="4"/>
  <c r="P159" i="4"/>
  <c r="P160" i="4"/>
  <c r="P179" i="4"/>
  <c r="P156" i="4"/>
  <c r="P167" i="4"/>
  <c r="P144" i="4"/>
  <c r="P180" i="4"/>
  <c r="P166" i="4"/>
  <c r="P164" i="4"/>
  <c r="P143" i="4"/>
  <c r="P113" i="4"/>
  <c r="P86" i="4"/>
  <c r="P85" i="4"/>
  <c r="P127" i="4"/>
  <c r="P114" i="4"/>
  <c r="P118" i="4"/>
  <c r="P196" i="4"/>
  <c r="P194" i="4"/>
  <c r="P195" i="4"/>
  <c r="P139" i="4"/>
  <c r="P126" i="4"/>
  <c r="P125" i="4"/>
  <c r="P102" i="4"/>
  <c r="P140" i="4"/>
  <c r="P97" i="4"/>
  <c r="P82" i="4"/>
  <c r="P81" i="4"/>
  <c r="P189" i="4"/>
  <c r="P191" i="4"/>
  <c r="P154" i="4"/>
  <c r="P132" i="4"/>
  <c r="P175" i="4"/>
  <c r="P173" i="4"/>
  <c r="P174" i="4"/>
  <c r="P121" i="4"/>
  <c r="P117" i="4"/>
  <c r="P116" i="4"/>
  <c r="P90" i="4"/>
  <c r="P178" i="4"/>
  <c r="P151" i="4"/>
  <c r="P147" i="4"/>
  <c r="P177" i="4"/>
  <c r="P101" i="4"/>
  <c r="P155" i="4"/>
  <c r="P157" i="4"/>
  <c r="P192" i="4"/>
  <c r="P148" i="4"/>
  <c r="P168" i="4"/>
  <c r="P110" i="4"/>
  <c r="P152" i="4"/>
  <c r="P185" i="4"/>
  <c r="P165" i="4"/>
  <c r="P142" i="4"/>
  <c r="P112" i="4"/>
  <c r="P105" i="4"/>
  <c r="P96" i="4"/>
  <c r="P124" i="4"/>
  <c r="P104" i="4"/>
  <c r="P99" i="4"/>
  <c r="P93" i="4"/>
  <c r="P92" i="4"/>
  <c r="P77" i="4"/>
  <c r="P182" i="4"/>
  <c r="P183" i="4"/>
  <c r="P163" i="4"/>
  <c r="P162" i="4"/>
  <c r="P83" i="4"/>
  <c r="P84" i="4"/>
  <c r="P122" i="4"/>
  <c r="P120" i="4"/>
  <c r="P123" i="4"/>
  <c r="P111" i="4"/>
  <c r="P94" i="4"/>
  <c r="P172" i="4"/>
  <c r="P130" i="4"/>
  <c r="P128" i="4"/>
  <c r="P131" i="4"/>
  <c r="P100" i="4"/>
  <c r="P103" i="4"/>
  <c r="F5" i="4" s="1"/>
  <c r="P88" i="4"/>
  <c r="P150" i="4"/>
  <c r="P115" i="4"/>
  <c r="P176" i="4"/>
  <c r="P75" i="4"/>
  <c r="N199" i="4"/>
  <c r="P138" i="4"/>
  <c r="P137" i="4"/>
  <c r="P188" i="4"/>
  <c r="P187" i="4"/>
  <c r="P190" i="4"/>
  <c r="P146" i="4"/>
  <c r="P184" i="4"/>
  <c r="P149" i="4"/>
  <c r="P95" i="4"/>
  <c r="H49" i="9" l="1"/>
  <c r="I49" i="9"/>
  <c r="G49" i="9"/>
  <c r="H18" i="9"/>
  <c r="G19" i="9"/>
  <c r="G20" i="9" s="1"/>
  <c r="I37" i="9"/>
  <c r="I38" i="9" s="1"/>
  <c r="I39" i="9" s="1"/>
  <c r="H37" i="9"/>
  <c r="H38" i="9" s="1"/>
  <c r="H39" i="9" s="1"/>
  <c r="G37" i="9"/>
  <c r="G38" i="9" s="1"/>
  <c r="G39" i="9" s="1"/>
  <c r="F38" i="9"/>
  <c r="F39" i="9" s="1"/>
  <c r="F5" i="9"/>
  <c r="G45" i="9"/>
  <c r="F45" i="9"/>
  <c r="I28" i="9"/>
  <c r="H28" i="9"/>
  <c r="J45" i="9"/>
  <c r="G28" i="9"/>
  <c r="I27" i="9"/>
  <c r="H27" i="9"/>
  <c r="G27" i="9"/>
  <c r="I45" i="9"/>
  <c r="H45" i="9"/>
  <c r="G22" i="9"/>
  <c r="G25" i="9" s="1"/>
  <c r="F40" i="9"/>
  <c r="I22" i="9"/>
  <c r="I25" i="9" s="1"/>
  <c r="H22" i="9"/>
  <c r="H25" i="9" s="1"/>
  <c r="G19" i="4"/>
  <c r="G20" i="4" s="1"/>
  <c r="J45" i="4"/>
  <c r="I45" i="4"/>
  <c r="H45" i="4"/>
  <c r="G45" i="4"/>
  <c r="F45" i="4"/>
  <c r="I37" i="4"/>
  <c r="I38" i="4" s="1"/>
  <c r="I39" i="4" s="1"/>
  <c r="H37" i="4"/>
  <c r="H38" i="4" s="1"/>
  <c r="H39" i="4" s="1"/>
  <c r="G37" i="4"/>
  <c r="G38" i="4" s="1"/>
  <c r="F38" i="4"/>
  <c r="F39" i="4" s="1"/>
  <c r="F40" i="4"/>
  <c r="I22" i="4"/>
  <c r="H22" i="4"/>
  <c r="G22" i="4"/>
  <c r="G25" i="4" s="1"/>
  <c r="H19" i="4"/>
  <c r="H20" i="4" s="1"/>
  <c r="H36" i="4"/>
  <c r="G36" i="4"/>
  <c r="I36" i="4"/>
  <c r="G39" i="4"/>
  <c r="J49" i="4"/>
  <c r="I49" i="4"/>
  <c r="H49" i="4"/>
  <c r="G49" i="4"/>
  <c r="F49" i="4"/>
  <c r="G27" i="4"/>
  <c r="I28" i="4"/>
  <c r="H28" i="4"/>
  <c r="H27" i="4"/>
  <c r="G28" i="4"/>
  <c r="I27" i="4"/>
  <c r="I18" i="9" l="1"/>
  <c r="I19" i="9" s="1"/>
  <c r="I20" i="9" s="1"/>
  <c r="H19" i="9"/>
  <c r="H20" i="9" s="1"/>
  <c r="J40" i="9"/>
  <c r="I40" i="9"/>
  <c r="H40" i="9"/>
  <c r="G40" i="9"/>
  <c r="G41" i="9" s="1"/>
  <c r="G44" i="9" s="1"/>
  <c r="J41" i="9"/>
  <c r="J44" i="9" s="1"/>
  <c r="I41" i="9"/>
  <c r="I44" i="9" s="1"/>
  <c r="H41" i="9"/>
  <c r="H44" i="9" s="1"/>
  <c r="J47" i="9"/>
  <c r="I47" i="9"/>
  <c r="H47" i="9"/>
  <c r="G47" i="9"/>
  <c r="J46" i="9"/>
  <c r="I46" i="9"/>
  <c r="H46" i="9"/>
  <c r="G46" i="9"/>
  <c r="I40" i="4"/>
  <c r="I41" i="4" s="1"/>
  <c r="I44" i="4" s="1"/>
  <c r="H40" i="4"/>
  <c r="H41" i="4" s="1"/>
  <c r="H44" i="4" s="1"/>
  <c r="G40" i="4"/>
  <c r="G41" i="4" s="1"/>
  <c r="G44" i="4" s="1"/>
  <c r="J40" i="4"/>
  <c r="J41" i="4" s="1"/>
  <c r="J44" i="4" s="1"/>
  <c r="G46" i="4"/>
  <c r="J47" i="4"/>
  <c r="I47" i="4"/>
  <c r="H47" i="4"/>
  <c r="G47" i="4"/>
  <c r="J46" i="4"/>
  <c r="I46" i="4"/>
  <c r="H46" i="4"/>
  <c r="H25" i="4"/>
  <c r="I25" i="4"/>
  <c r="D13" i="2" l="1"/>
  <c r="E13" i="2" l="1"/>
  <c r="F13" i="2"/>
  <c r="G13" i="2" l="1"/>
  <c r="H3" i="2" s="1"/>
  <c r="H9" i="2" l="1"/>
  <c r="H10" i="2"/>
  <c r="H4" i="2"/>
  <c r="H2" i="2"/>
  <c r="H7" i="2"/>
  <c r="H11" i="2"/>
  <c r="H8" i="2"/>
  <c r="H5" i="2"/>
  <c r="H12" i="2"/>
  <c r="H6" i="2"/>
  <c r="H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Jen</author>
    <author>tc={60EF51EA-9EF8-48C9-90A4-51416E0208D9}</author>
  </authors>
  <commentList>
    <comment ref="F23" authorId="0" shapeId="0" xr:uid="{16B5BBE5-51F7-416D-87F7-FC5699900290}">
      <text>
        <r>
          <rPr>
            <b/>
            <sz val="9"/>
            <color indexed="81"/>
            <rFont val="Tahoma"/>
            <family val="2"/>
          </rPr>
          <t>Lucas Jen:</t>
        </r>
        <r>
          <rPr>
            <sz val="9"/>
            <color indexed="81"/>
            <rFont val="Tahoma"/>
            <family val="2"/>
          </rPr>
          <t xml:space="preserve">
⚠ INPUT CELL — Free Rent months assumption. This drives all scenario (+)Free Rent calculations (G18, H18, I18). Do NOT overwrite with scenario output values.</t>
        </r>
      </text>
    </comment>
    <comment ref="F24" authorId="0" shapeId="0" xr:uid="{571DD310-88DD-4F5B-97DC-415ACA28A6CC}">
      <text>
        <r>
          <rPr>
            <b/>
            <sz val="9"/>
            <color indexed="81"/>
            <rFont val="Tahoma"/>
            <family val="2"/>
          </rPr>
          <t>Lucas Jen:</t>
        </r>
        <r>
          <rPr>
            <sz val="9"/>
            <color indexed="81"/>
            <rFont val="Tahoma"/>
            <family val="2"/>
          </rPr>
          <t xml:space="preserve">
⚠ INPUT CELL — TI $/PSF assumption. This drives all scenario (+)TI calculations (G19, H19, I19 = F19 × C7). Do NOT overwrite with scenario output values.</t>
        </r>
      </text>
    </comment>
    <comment ref="E40" authorId="0" shapeId="0" xr:uid="{17606116-D1D2-4A8D-8714-64497241363F}">
      <text>
        <r>
          <rPr>
            <b/>
            <sz val="9"/>
            <color indexed="81"/>
            <rFont val="Tahoma"/>
            <family val="2"/>
          </rPr>
          <t>Lucas Jen:</t>
        </r>
        <r>
          <rPr>
            <sz val="9"/>
            <color indexed="81"/>
            <rFont val="Tahoma"/>
            <family val="2"/>
          </rPr>
          <t xml:space="preserve">
✅ AUTHORITATIVE FV — Uses SUMPRODUCT over helper columns T–W. Sums only months ≥ effective date under scenario discount. This is the rigorous calculation.</t>
        </r>
      </text>
    </comment>
    <comment ref="F42" authorId="0" shapeId="0" xr:uid="{8CC834CF-A8BD-4CD4-8E2C-16ED7509DC03}">
      <text>
        <r>
          <rPr>
            <b/>
            <sz val="9"/>
            <color indexed="81"/>
            <rFont val="Tahoma"/>
            <family val="2"/>
          </rPr>
          <t>Lucas Jen:</t>
        </r>
        <r>
          <rPr>
            <sz val="9"/>
            <color indexed="81"/>
            <rFont val="Tahoma"/>
            <family val="2"/>
          </rPr>
          <t xml:space="preserve">
⚠ INPUT CELL — Free Rent months assumption for exit scenarios. Drives G37, H37, I37.</t>
        </r>
      </text>
    </comment>
    <comment ref="E44" authorId="0" shapeId="0" xr:uid="{23DF44B6-DF1D-4E43-9DCE-154E7C8F2883}">
      <text>
        <r>
          <rPr>
            <b/>
            <sz val="9"/>
            <color indexed="81"/>
            <rFont val="Tahoma"/>
            <family val="2"/>
          </rPr>
          <t>Lucas Jen:</t>
        </r>
        <r>
          <rPr>
            <sz val="9"/>
            <color indexed="81"/>
            <rFont val="Tahoma"/>
            <family val="2"/>
          </rPr>
          <t xml:space="preserve">
⚠ SIMPLIFIED METHOD — Uses =F16×(1-buyout%). A cross-check against the SUMPRODUCT FV in row 35. These two approaches produce different results; row 35 is the primary output.</t>
        </r>
      </text>
    </comment>
    <comment ref="D59" authorId="1" shapeId="0" xr:uid="{60EF51EA-9EF8-48C9-90A4-51416E0208D9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Original: 'Within 30 days of Tenant occupancy'. Set to lease commencement date for schedule calculation purposes. Adjust if actual date differs.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Jen</author>
    <author>tc={E4061963-FFCB-4380-BA03-AA0452768BA6}</author>
  </authors>
  <commentList>
    <comment ref="F23" authorId="0" shapeId="0" xr:uid="{DED5FE59-9673-425D-BB2E-55D66AFE9059}">
      <text>
        <r>
          <rPr>
            <b/>
            <sz val="9"/>
            <color indexed="81"/>
            <rFont val="Tahoma"/>
            <family val="2"/>
          </rPr>
          <t>Lucas Jen:</t>
        </r>
        <r>
          <rPr>
            <sz val="9"/>
            <color indexed="81"/>
            <rFont val="Tahoma"/>
            <family val="2"/>
          </rPr>
          <t xml:space="preserve">
⚠ INPUT CELL — Free Rent months assumption. This drives all scenario (+)Free Rent calculations (G18, H18, I18). Do NOT overwrite with scenario output values.</t>
        </r>
      </text>
    </comment>
    <comment ref="F24" authorId="0" shapeId="0" xr:uid="{FCA0E89D-0A28-4AD1-A58A-2CEF2783F480}">
      <text>
        <r>
          <rPr>
            <b/>
            <sz val="9"/>
            <color indexed="81"/>
            <rFont val="Tahoma"/>
            <family val="2"/>
          </rPr>
          <t>Lucas Jen:</t>
        </r>
        <r>
          <rPr>
            <sz val="9"/>
            <color indexed="81"/>
            <rFont val="Tahoma"/>
            <family val="2"/>
          </rPr>
          <t xml:space="preserve">
⚠ INPUT CELL — TI $/PSF assumption. This drives all scenario (+)TI calculations (G19, H19, I19 = F19 × C7). Do NOT overwrite with scenario output values.</t>
        </r>
      </text>
    </comment>
    <comment ref="E40" authorId="0" shapeId="0" xr:uid="{823B23D3-C461-4375-AAB9-6E3910029C1C}">
      <text>
        <r>
          <rPr>
            <b/>
            <sz val="9"/>
            <color indexed="81"/>
            <rFont val="Tahoma"/>
            <family val="2"/>
          </rPr>
          <t>Lucas Jen:</t>
        </r>
        <r>
          <rPr>
            <sz val="9"/>
            <color indexed="81"/>
            <rFont val="Tahoma"/>
            <family val="2"/>
          </rPr>
          <t xml:space="preserve">
✅ AUTHORITATIVE FV — Uses SUMPRODUCT over helper columns T–W. Sums only months ≥ effective date under scenario discount. This is the rigorous calculation.</t>
        </r>
      </text>
    </comment>
    <comment ref="F42" authorId="0" shapeId="0" xr:uid="{E685318B-A368-4DE7-8E9D-56678DA92ADE}">
      <text>
        <r>
          <rPr>
            <b/>
            <sz val="9"/>
            <color indexed="81"/>
            <rFont val="Tahoma"/>
            <family val="2"/>
          </rPr>
          <t>Lucas Jen:</t>
        </r>
        <r>
          <rPr>
            <sz val="9"/>
            <color indexed="81"/>
            <rFont val="Tahoma"/>
            <family val="2"/>
          </rPr>
          <t xml:space="preserve">
⚠ INPUT CELL — Free Rent months assumption for exit scenarios. Drives G37, H37, I37.</t>
        </r>
      </text>
    </comment>
    <comment ref="E44" authorId="0" shapeId="0" xr:uid="{330E28DA-39D2-4987-BF88-8C5E1BB2CD3C}">
      <text>
        <r>
          <rPr>
            <b/>
            <sz val="9"/>
            <color indexed="81"/>
            <rFont val="Tahoma"/>
            <family val="2"/>
          </rPr>
          <t>Lucas Jen:</t>
        </r>
        <r>
          <rPr>
            <sz val="9"/>
            <color indexed="81"/>
            <rFont val="Tahoma"/>
            <family val="2"/>
          </rPr>
          <t xml:space="preserve">
⚠ SIMPLIFIED METHOD — Uses =F16×(1-buyout%). A cross-check against the SUMPRODUCT FV in row 35. These two approaches produce different results; row 35 is the primary output.</t>
        </r>
      </text>
    </comment>
    <comment ref="D59" authorId="1" shapeId="0" xr:uid="{E4061963-FFCB-4380-BA03-AA0452768BA6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Original: 'Within 30 days of Tenant occupancy'. Set to lease commencement date for schedule calculation purposes. Adjust if actual date differs.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<sst xmlns="http://schemas.openxmlformats.org/spreadsheetml/2006/main" count="1087" uniqueCount="154">
  <si>
    <t>Rentable SF</t>
  </si>
  <si>
    <t>One-Time Charge</t>
  </si>
  <si>
    <t>Amount (USD)</t>
  </si>
  <si>
    <t>Incurred / Due Date</t>
  </si>
  <si>
    <t>Lease Commencement Date</t>
  </si>
  <si>
    <t>Security Deposit</t>
  </si>
  <si>
    <t>Lease Expiration Date</t>
  </si>
  <si>
    <t>TIA — Initial Funding</t>
  </si>
  <si>
    <t>TIA — Final Funding</t>
  </si>
  <si>
    <t>Annual Base Rent Escalation Rate (%)</t>
  </si>
  <si>
    <t>Landlord Work Contribution</t>
  </si>
  <si>
    <t/>
  </si>
  <si>
    <t>Moving Allowance</t>
  </si>
  <si>
    <t>Base Rent Abatement (Months 1–4)</t>
  </si>
  <si>
    <t>Lease Commission — Tenant's Broker (JLL)</t>
  </si>
  <si>
    <t>CAMS Year 1 Monthly Rate ($)</t>
  </si>
  <si>
    <t>Lease Commission — Landlord's Broker</t>
  </si>
  <si>
    <t>CAMS Annual Escalation Rate (%)</t>
  </si>
  <si>
    <t>Parking Stall Deposit (20 stalls)</t>
  </si>
  <si>
    <t>Insurance Year 1 Monthly Rate ($)</t>
  </si>
  <si>
    <t>HVAC Change-Order Charge</t>
  </si>
  <si>
    <t>Insurance Annual Escalation Rate (%)</t>
  </si>
  <si>
    <t>After-Hours Access Control Install</t>
  </si>
  <si>
    <t>Taxes Year 1 Monthly Rate ($)</t>
  </si>
  <si>
    <t>Roof Curb / Supplemental Mechanical Work</t>
  </si>
  <si>
    <t>Taxes Annual Escalation Rate (%)</t>
  </si>
  <si>
    <t>Letter of Credit (in lieu of cash deposit)</t>
  </si>
  <si>
    <t>Security Year 1 Monthly Rate ($)</t>
  </si>
  <si>
    <t>TOTAL</t>
  </si>
  <si>
    <t>Security Annual Escalation Rate (%)</t>
  </si>
  <si>
    <t>Other Items Year 1 Monthly Rate ($)</t>
  </si>
  <si>
    <t>Other Items Annual Escalation Rate (%)</t>
  </si>
  <si>
    <t>Period Start</t>
  </si>
  <si>
    <t>Period End</t>
  </si>
  <si>
    <t>Month #</t>
  </si>
  <si>
    <t>Year #</t>
  </si>
  <si>
    <t>Scheduled
Base Rent</t>
  </si>
  <si>
    <t>Base Rent
Applied</t>
  </si>
  <si>
    <t>CAMS</t>
  </si>
  <si>
    <t>Insurance</t>
  </si>
  <si>
    <t>Taxes</t>
  </si>
  <si>
    <t>Security</t>
  </si>
  <si>
    <t>Other Items</t>
  </si>
  <si>
    <t>Total NNN ①</t>
  </si>
  <si>
    <t>Total Monthly
Obligation ②</t>
  </si>
  <si>
    <t>Effective $/SF</t>
  </si>
  <si>
    <t>Obligation
Remaining</t>
  </si>
  <si>
    <t>Base Rent
Remaining</t>
  </si>
  <si>
    <t>NNN
Remaining</t>
  </si>
  <si>
    <t>OTC
Remaining</t>
  </si>
  <si>
    <t>Lease Year</t>
  </si>
  <si>
    <t>Months</t>
  </si>
  <si>
    <t>Base Rent Applied</t>
  </si>
  <si>
    <t>Total NNN</t>
  </si>
  <si>
    <t>Total Monthly Obligation</t>
  </si>
  <si>
    <t>% of Grand Total</t>
  </si>
  <si>
    <t>11 (Stub)</t>
  </si>
  <si>
    <t>GRAND TOTAL</t>
  </si>
  <si>
    <t>Period Factor</t>
  </si>
  <si>
    <t>Proration Factor</t>
  </si>
  <si>
    <t>Proration Basis</t>
  </si>
  <si>
    <t>CAMS Esc Year</t>
  </si>
  <si>
    <t>CAMS Active</t>
  </si>
  <si>
    <t>Ins Esc Year</t>
  </si>
  <si>
    <t>Ins Active</t>
  </si>
  <si>
    <t>Tax Esc Year</t>
  </si>
  <si>
    <t>Tax Active</t>
  </si>
  <si>
    <t>Sec Esc Year</t>
  </si>
  <si>
    <t>Sec Active</t>
  </si>
  <si>
    <t>Other Esc Year</t>
  </si>
  <si>
    <t>Other Active</t>
  </si>
  <si>
    <t>full</t>
  </si>
  <si>
    <t>true</t>
  </si>
  <si>
    <t>Rent Commencement Date</t>
  </si>
  <si>
    <t>Lease Drivers</t>
  </si>
  <si>
    <t>Total Lease Term (Months):</t>
  </si>
  <si>
    <t>Effective Date of Analysis:</t>
  </si>
  <si>
    <t>Effective Month #:</t>
  </si>
  <si>
    <t>Months Remaining:</t>
  </si>
  <si>
    <t>Month # of effective date:</t>
  </si>
  <si>
    <t>Date:</t>
  </si>
  <si>
    <t>Base Case</t>
  </si>
  <si>
    <t>Modest</t>
  </si>
  <si>
    <t>Material</t>
  </si>
  <si>
    <t>Significant</t>
  </si>
  <si>
    <t>% Discount</t>
  </si>
  <si>
    <t>Base/$PSF</t>
  </si>
  <si>
    <t>Additional Rent (CAMs + Nets)</t>
  </si>
  <si>
    <t>Total Occupancy Cost</t>
  </si>
  <si>
    <t>Effective $/PSF</t>
  </si>
  <si>
    <t>Lease Obligation (FV)</t>
  </si>
  <si>
    <t>(+)Free Rent</t>
  </si>
  <si>
    <t>(+)TI</t>
  </si>
  <si>
    <t>NPV</t>
  </si>
  <si>
    <t>NPV Savings vs Base</t>
  </si>
  <si>
    <t>-</t>
  </si>
  <si>
    <t>% Savings vs Base</t>
  </si>
  <si>
    <t>Abatement</t>
  </si>
  <si>
    <t>Existing Lease</t>
  </si>
  <si>
    <t>Scheduled Base Rent</t>
  </si>
  <si>
    <t>*Property name here*</t>
  </si>
  <si>
    <t>Lease Obligation Analysis: *Name here*</t>
  </si>
  <si>
    <t>Discount Rate:</t>
  </si>
  <si>
    <t>Month:</t>
  </si>
  <si>
    <t>Abatement start</t>
  </si>
  <si>
    <t>Abatement end</t>
  </si>
  <si>
    <t>Abatement duration (months)</t>
  </si>
  <si>
    <t>Abatement amt (dollars)</t>
  </si>
  <si>
    <t>SCENARIO COMPARISON - Renegotiation</t>
  </si>
  <si>
    <t>SCENARIO COMPARISON - exit</t>
  </si>
  <si>
    <t>% Buyout</t>
  </si>
  <si>
    <t>Non Recurring Charges:</t>
  </si>
  <si>
    <t>Abatement:</t>
  </si>
  <si>
    <t>Monthly Rent Breakdown:</t>
  </si>
  <si>
    <t xml:space="preserve">Free Rent </t>
  </si>
  <si>
    <t>Free Rent duration (months)</t>
  </si>
  <si>
    <t>Free Rent Start</t>
  </si>
  <si>
    <t>Free Rent End</t>
  </si>
  <si>
    <t>Free Rent assumption = 100%, if not.. Edit</t>
  </si>
  <si>
    <t>Total Savings From Base</t>
  </si>
  <si>
    <t>Exit &amp; Renegotiation comparisons</t>
  </si>
  <si>
    <t>Renego: Modest
(10%)</t>
  </si>
  <si>
    <t>Renego: Material
(20%)</t>
  </si>
  <si>
    <t>Renego: Significant
(30%)</t>
  </si>
  <si>
    <t>Renegotiation and exit</t>
  </si>
  <si>
    <t>Escalations:</t>
  </si>
  <si>
    <t>yes</t>
  </si>
  <si>
    <t>Months until next base rent escalation:</t>
  </si>
  <si>
    <t>Full-Lease FV (all months, no date filter)</t>
  </si>
  <si>
    <t>Cross-check: NNN after discount (orphan)</t>
  </si>
  <si>
    <t>Simplified cross-check: Full FV × (1-buyout%)</t>
  </si>
  <si>
    <t>*Additional free rent later in lease? (If yes, view the lease schedule free rent column and harcode your values)</t>
  </si>
  <si>
    <t>*Additional abatement later in lease? (If yes, view the lease schedule abatement column and hardcode your values)</t>
  </si>
  <si>
    <t>No</t>
  </si>
  <si>
    <t>Abatement % of full rent (dependent, don't change)</t>
  </si>
  <si>
    <t>Gross Savings vs Base ($)</t>
  </si>
  <si>
    <t>Monthly Base Rent</t>
  </si>
  <si>
    <t>Additional Rent (NNN)</t>
  </si>
  <si>
    <t>Remaining Obligation (FV)</t>
  </si>
  <si>
    <t>Full Obligation</t>
  </si>
  <si>
    <t>Mild Discount</t>
  </si>
  <si>
    <t>Moderate Discount</t>
  </si>
  <si>
    <t>Material Discount</t>
  </si>
  <si>
    <t>Significant Discount</t>
  </si>
  <si>
    <t>Exit: Full Obligation
(0%)</t>
  </si>
  <si>
    <t>Exit: Mild Discount
(20%)</t>
  </si>
  <si>
    <t>Exit: Moderate Discount
(30%)</t>
  </si>
  <si>
    <t>Exit: Material Discount
(40%)</t>
  </si>
  <si>
    <t>Exit: Significant Discount
(50%)</t>
  </si>
  <si>
    <t>Current Remaining Obligations:</t>
  </si>
  <si>
    <t>Total Remaining Obligation:</t>
  </si>
  <si>
    <t>Remaining Nets:</t>
  </si>
  <si>
    <t>Remaining Base Rent:</t>
  </si>
  <si>
    <t>Remaining Other Charges: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</si>
</sst>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164" formatCode="mm/dd/yyyy"/>
    <numFmt numFmtId="165" formatCode="\$#,##0.00"/>
    <numFmt numFmtId="166" formatCode="0.0000"/>
    <numFmt numFmtId="167" formatCode="\$#,##0.0000"/>
    <numFmt numFmtId="168" formatCode="&quot;$&quot;#,##0.00"/>
    <numFmt numFmtId="169" formatCode="&quot;$&quot;#,##0"/>
    <numFmt numFmtId="170" formatCode="&quot;$&quot;0.00"/>
    <numFmt numFmtId="171" formatCode="0\ &quot;months&quot;"/>
    <numFmt numFmtId="172" formatCode="&quot;$&quot;0.00\ &quot;psf&quot;"/>
    <numFmt numFmtId="173" formatCode="0.0%"/>
    <numFmt numFmtId="174" formatCode="&quot;$&quot;#,##0.0"/>
    <numFmt numFmtId="175" formatCode="#\ &quot;enter months here&quot;"/>
  </numFmts>
  <fonts count="47" x14ac:knownFonts="1">
    <font>
      <sz val="11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sz val="11"/>
      <color rgb="FF375623"/>
      <name val="Calibri"/>
      <family val="2"/>
    </font>
    <font>
      <sz val="11"/>
      <color rgb="FF375623"/>
      <name val="Calibri"/>
      <family val="2"/>
    </font>
    <font>
      <sz val="11"/>
      <color rgb="FF000000"/>
      <name val="Calibri"/>
      <family val="2"/>
    </font>
    <font>
      <sz val="11"/>
      <color rgb="FF375623"/>
      <name val="Calibri"/>
      <family val="2"/>
    </font>
    <font>
      <sz val="11"/>
      <color rgb="FF375623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b/>
      <sz val="12"/>
      <name val="Aptos"/>
      <family val="2"/>
    </font>
    <font>
      <b/>
      <sz val="12"/>
      <color rgb="FFFFFFFF"/>
      <name val="Aptos"/>
      <family val="2"/>
    </font>
    <font>
      <sz val="12"/>
      <name val="Aptos"/>
      <family val="2"/>
    </font>
    <font>
      <b/>
      <sz val="12"/>
      <color rgb="FF1F3864"/>
      <name val="Aptos"/>
      <family val="2"/>
    </font>
    <font>
      <sz val="12"/>
      <color theme="0"/>
      <name val="Aptos"/>
      <family val="2"/>
    </font>
    <font>
      <sz val="12"/>
      <color rgb="FF0000FF"/>
      <name val="Aptos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i/>
      <sz val="12"/>
      <color rgb="FFFF0000"/>
      <name val="Aptos"/>
      <family val="2"/>
    </font>
    <font>
      <b/>
      <sz val="12"/>
      <color rgb="FF008000"/>
      <name val="Aptos"/>
      <family val="2"/>
    </font>
    <font>
      <sz val="12"/>
      <color rgb="FF008000"/>
      <name val="Aptos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12"/>
      <color theme="0"/>
      <name val="Aptos"/>
      <family val="2"/>
    </font>
    <font>
      <b/>
      <sz val="16"/>
      <color rgb="FFFFFFFF"/>
      <name val="Aptos"/>
      <family val="2"/>
    </font>
    <font>
      <b/>
      <sz val="22"/>
      <color rgb="FFFFFFFF"/>
      <name val="Aptos"/>
      <family val="2"/>
    </font>
    <font>
      <b/>
      <sz val="12"/>
      <color rgb="FFFFFFFF"/>
      <name val="Aptos"/>
    </font>
    <font>
      <sz val="12"/>
      <color rgb="FF000000"/>
      <name val="Aptos"/>
    </font>
    <font>
      <b/>
      <sz val="12"/>
      <color rgb="FF1F3864"/>
      <name val="Apto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</fonts>
  <fills count="64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B6C1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17375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3D1C6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FF2E0"/>
        <bgColor indexed="64"/>
      </patternFill>
    </fill>
    <fill>
      <patternFill patternType="solid">
        <fgColor rgb="FFFFE4CC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1F3864"/>
      </top>
      <bottom style="thin">
        <color rgb="FF1F3864"/>
      </bottom>
      <diagonal/>
    </border>
    <border>
      <left/>
      <right/>
      <top style="double">
        <color rgb="FF1F3864"/>
      </top>
      <bottom style="thin">
        <color rgb="FF1F38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double">
        <color rgb="FF1F3864"/>
      </top>
      <bottom style="thin">
        <color rgb="FF1F3864"/>
      </bottom>
      <diagonal/>
    </border>
    <border>
      <left/>
      <right/>
      <top style="double">
        <color rgb="FF1F3864"/>
      </top>
      <bottom style="thin">
        <color rgb="FF1F38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double">
        <color rgb="FF1F3864"/>
      </top>
      <bottom style="thin">
        <color indexed="64"/>
      </bottom>
      <diagonal/>
    </border>
    <border>
      <left/>
      <right/>
      <top style="double">
        <color rgb="FF1F3864"/>
      </top>
      <bottom style="thin">
        <color indexed="64"/>
      </bottom>
      <diagonal/>
    </border>
    <border>
      <left/>
      <right style="thin">
        <color indexed="64"/>
      </right>
      <top style="double">
        <color rgb="FF1F38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double">
        <color rgb="FF1F3864"/>
      </top>
      <bottom style="thin">
        <color rgb="FF000000"/>
      </bottom>
      <diagonal/>
    </border>
    <border>
      <left/>
      <right/>
      <top style="double">
        <color rgb="FF1F38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4" fontId="24" fillId="0" borderId="0" applyFont="0" applyFill="0" applyBorder="0" applyAlignment="0" applyProtection="0"/>
  </cellStyleXfs>
  <cellXfs count="195">
    <xf numFmtId="0" fontId="0" fillId="0" borderId="0" xfId="0"/>
    <xf numFmtId="164" fontId="1" fillId="19" borderId="0" xfId="0" applyNumberFormat="1" applyFont="1" applyFill="1" applyAlignment="1">
      <alignment horizontal="center"/>
    </xf>
    <xf numFmtId="3" fontId="2" fillId="20" borderId="0" xfId="0" applyNumberFormat="1" applyFont="1" applyFill="1" applyAlignment="1">
      <alignment horizontal="center"/>
    </xf>
    <xf numFmtId="164" fontId="3" fillId="23" borderId="0" xfId="0" applyNumberFormat="1" applyFont="1" applyFill="1" applyAlignment="1">
      <alignment horizontal="center"/>
    </xf>
    <xf numFmtId="3" fontId="4" fillId="24" borderId="0" xfId="0" applyNumberFormat="1" applyFont="1" applyFill="1" applyAlignment="1">
      <alignment horizontal="center"/>
    </xf>
    <xf numFmtId="0" fontId="5" fillId="28" borderId="11" xfId="0" applyFont="1" applyFill="1" applyBorder="1" applyAlignment="1">
      <alignment horizontal="right"/>
    </xf>
    <xf numFmtId="165" fontId="6" fillId="29" borderId="12" xfId="0" applyNumberFormat="1" applyFont="1" applyFill="1" applyBorder="1" applyAlignment="1">
      <alignment horizontal="right"/>
    </xf>
    <xf numFmtId="0" fontId="7" fillId="30" borderId="13" xfId="0" applyFont="1" applyFill="1" applyBorder="1" applyAlignment="1">
      <alignment horizontal="center" wrapText="1"/>
    </xf>
    <xf numFmtId="3" fontId="8" fillId="31" borderId="0" xfId="0" applyNumberFormat="1" applyFont="1" applyFill="1" applyAlignment="1">
      <alignment horizontal="right"/>
    </xf>
    <xf numFmtId="165" fontId="9" fillId="32" borderId="0" xfId="0" applyNumberFormat="1" applyFont="1" applyFill="1" applyAlignment="1">
      <alignment horizontal="right"/>
    </xf>
    <xf numFmtId="10" fontId="10" fillId="33" borderId="0" xfId="0" applyNumberFormat="1" applyFont="1" applyFill="1" applyAlignment="1">
      <alignment horizontal="right"/>
    </xf>
    <xf numFmtId="3" fontId="11" fillId="34" borderId="0" xfId="0" applyNumberFormat="1" applyFont="1" applyFill="1" applyAlignment="1">
      <alignment horizontal="right"/>
    </xf>
    <xf numFmtId="165" fontId="12" fillId="35" borderId="0" xfId="0" applyNumberFormat="1" applyFont="1" applyFill="1" applyAlignment="1">
      <alignment horizontal="right"/>
    </xf>
    <xf numFmtId="10" fontId="13" fillId="36" borderId="0" xfId="0" applyNumberFormat="1" applyFont="1" applyFill="1" applyAlignment="1">
      <alignment horizontal="right"/>
    </xf>
    <xf numFmtId="49" fontId="14" fillId="37" borderId="0" xfId="0" applyNumberFormat="1" applyFont="1" applyFill="1" applyAlignment="1">
      <alignment horizontal="center"/>
    </xf>
    <xf numFmtId="0" fontId="15" fillId="38" borderId="14" xfId="0" applyFont="1" applyFill="1" applyBorder="1" applyAlignment="1">
      <alignment horizontal="left"/>
    </xf>
    <xf numFmtId="3" fontId="16" fillId="39" borderId="15" xfId="0" applyNumberFormat="1" applyFont="1" applyFill="1" applyBorder="1" applyAlignment="1">
      <alignment horizontal="right"/>
    </xf>
    <xf numFmtId="0" fontId="17" fillId="40" borderId="16" xfId="0" applyFont="1" applyFill="1" applyBorder="1" applyAlignment="1">
      <alignment horizontal="center" wrapText="1"/>
    </xf>
    <xf numFmtId="3" fontId="18" fillId="41" borderId="0" xfId="0" applyNumberFormat="1" applyFont="1" applyFill="1" applyAlignment="1">
      <alignment horizontal="center"/>
    </xf>
    <xf numFmtId="166" fontId="19" fillId="42" borderId="0" xfId="0" applyNumberFormat="1" applyFont="1" applyFill="1" applyAlignment="1">
      <alignment horizontal="right"/>
    </xf>
    <xf numFmtId="49" fontId="20" fillId="43" borderId="0" xfId="0" applyNumberFormat="1" applyFont="1" applyFill="1" applyAlignment="1">
      <alignment horizontal="center"/>
    </xf>
    <xf numFmtId="3" fontId="21" fillId="44" borderId="0" xfId="0" applyNumberFormat="1" applyFont="1" applyFill="1" applyAlignment="1">
      <alignment horizontal="center"/>
    </xf>
    <xf numFmtId="166" fontId="22" fillId="45" borderId="0" xfId="0" applyNumberFormat="1" applyFont="1" applyFill="1" applyAlignment="1">
      <alignment horizontal="right"/>
    </xf>
    <xf numFmtId="49" fontId="23" fillId="46" borderId="0" xfId="0" applyNumberFormat="1" applyFont="1" applyFill="1" applyAlignment="1">
      <alignment horizontal="center"/>
    </xf>
    <xf numFmtId="0" fontId="25" fillId="47" borderId="0" xfId="0" applyFont="1" applyFill="1" applyAlignment="1">
      <alignment horizontal="center" vertical="center"/>
    </xf>
    <xf numFmtId="0" fontId="27" fillId="0" borderId="0" xfId="0" applyFont="1"/>
    <xf numFmtId="0" fontId="25" fillId="0" borderId="0" xfId="0" applyFont="1"/>
    <xf numFmtId="0" fontId="26" fillId="3" borderId="3" xfId="0" applyFont="1" applyFill="1" applyBorder="1" applyAlignment="1">
      <alignment horizontal="center" wrapText="1"/>
    </xf>
    <xf numFmtId="0" fontId="26" fillId="3" borderId="2" xfId="0" applyFont="1" applyFill="1" applyBorder="1" applyAlignment="1">
      <alignment horizontal="center" wrapText="1"/>
    </xf>
    <xf numFmtId="0" fontId="26" fillId="51" borderId="23" xfId="0" applyFont="1" applyFill="1" applyBorder="1" applyAlignment="1">
      <alignment horizontal="left"/>
    </xf>
    <xf numFmtId="0" fontId="29" fillId="51" borderId="26" xfId="0" applyFont="1" applyFill="1" applyBorder="1" applyAlignment="1">
      <alignment horizontal="center"/>
    </xf>
    <xf numFmtId="0" fontId="29" fillId="51" borderId="27" xfId="0" applyFont="1" applyFill="1" applyBorder="1" applyAlignment="1">
      <alignment horizontal="center"/>
    </xf>
    <xf numFmtId="173" fontId="30" fillId="48" borderId="30" xfId="0" applyNumberFormat="1" applyFont="1" applyFill="1" applyBorder="1" applyAlignment="1">
      <alignment horizontal="right"/>
    </xf>
    <xf numFmtId="49" fontId="28" fillId="2" borderId="1" xfId="0" applyNumberFormat="1" applyFont="1" applyFill="1" applyBorder="1" applyAlignment="1">
      <alignment horizontal="left" wrapText="1"/>
    </xf>
    <xf numFmtId="3" fontId="30" fillId="48" borderId="30" xfId="0" applyNumberFormat="1" applyFont="1" applyFill="1" applyBorder="1" applyAlignment="1">
      <alignment horizontal="right"/>
    </xf>
    <xf numFmtId="49" fontId="28" fillId="4" borderId="4" xfId="0" applyNumberFormat="1" applyFont="1" applyFill="1" applyBorder="1" applyAlignment="1">
      <alignment horizontal="left" wrapText="1"/>
    </xf>
    <xf numFmtId="164" fontId="30" fillId="48" borderId="30" xfId="0" applyNumberFormat="1" applyFont="1" applyFill="1" applyBorder="1" applyAlignment="1">
      <alignment horizontal="right"/>
    </xf>
    <xf numFmtId="0" fontId="31" fillId="0" borderId="20" xfId="0" applyFont="1" applyBorder="1" applyAlignment="1">
      <alignment horizontal="left"/>
    </xf>
    <xf numFmtId="173" fontId="30" fillId="0" borderId="21" xfId="0" applyNumberFormat="1" applyFont="1" applyBorder="1" applyAlignment="1">
      <alignment horizontal="right"/>
    </xf>
    <xf numFmtId="169" fontId="32" fillId="0" borderId="21" xfId="0" applyNumberFormat="1" applyFont="1" applyBorder="1" applyAlignment="1">
      <alignment horizontal="right"/>
    </xf>
    <xf numFmtId="0" fontId="31" fillId="49" borderId="20" xfId="0" applyFont="1" applyFill="1" applyBorder="1" applyAlignment="1">
      <alignment horizontal="left"/>
    </xf>
    <xf numFmtId="168" fontId="31" fillId="49" borderId="21" xfId="0" applyNumberFormat="1" applyFont="1" applyFill="1" applyBorder="1" applyAlignment="1">
      <alignment horizontal="right"/>
    </xf>
    <xf numFmtId="49" fontId="33" fillId="4" borderId="3" xfId="0" applyNumberFormat="1" applyFont="1" applyFill="1" applyBorder="1" applyAlignment="1">
      <alignment horizontal="left" wrapText="1"/>
    </xf>
    <xf numFmtId="169" fontId="32" fillId="0" borderId="0" xfId="1" applyNumberFormat="1" applyFont="1" applyBorder="1" applyAlignment="1">
      <alignment horizontal="right"/>
    </xf>
    <xf numFmtId="169" fontId="32" fillId="0" borderId="21" xfId="1" applyNumberFormat="1" applyFont="1" applyBorder="1" applyAlignment="1">
      <alignment horizontal="right"/>
    </xf>
    <xf numFmtId="49" fontId="28" fillId="4" borderId="7" xfId="0" applyNumberFormat="1" applyFont="1" applyFill="1" applyBorder="1" applyAlignment="1">
      <alignment horizontal="left" wrapText="1"/>
    </xf>
    <xf numFmtId="170" fontId="32" fillId="0" borderId="21" xfId="0" applyNumberFormat="1" applyFont="1" applyBorder="1" applyAlignment="1">
      <alignment horizontal="right"/>
    </xf>
    <xf numFmtId="0" fontId="31" fillId="0" borderId="20" xfId="0" applyFont="1" applyBorder="1" applyAlignment="1">
      <alignment horizontal="left" indent="1"/>
    </xf>
    <xf numFmtId="0" fontId="31" fillId="50" borderId="20" xfId="0" applyFont="1" applyFill="1" applyBorder="1"/>
    <xf numFmtId="169" fontId="31" fillId="50" borderId="21" xfId="0" applyNumberFormat="1" applyFont="1" applyFill="1" applyBorder="1"/>
    <xf numFmtId="164" fontId="27" fillId="0" borderId="7" xfId="0" applyNumberFormat="1" applyFont="1" applyBorder="1"/>
    <xf numFmtId="169" fontId="35" fillId="0" borderId="21" xfId="0" applyNumberFormat="1" applyFont="1" applyBorder="1" applyAlignment="1">
      <alignment horizontal="right"/>
    </xf>
    <xf numFmtId="168" fontId="30" fillId="48" borderId="30" xfId="0" applyNumberFormat="1" applyFont="1" applyFill="1" applyBorder="1" applyAlignment="1">
      <alignment horizontal="right"/>
    </xf>
    <xf numFmtId="173" fontId="35" fillId="0" borderId="21" xfId="0" applyNumberFormat="1" applyFont="1" applyBorder="1" applyAlignment="1">
      <alignment horizontal="right"/>
    </xf>
    <xf numFmtId="49" fontId="28" fillId="4" borderId="19" xfId="0" applyNumberFormat="1" applyFont="1" applyFill="1" applyBorder="1" applyAlignment="1">
      <alignment horizontal="left" wrapText="1"/>
    </xf>
    <xf numFmtId="0" fontId="32" fillId="0" borderId="24" xfId="0" applyFont="1" applyBorder="1"/>
    <xf numFmtId="169" fontId="32" fillId="0" borderId="28" xfId="0" applyNumberFormat="1" applyFont="1" applyBorder="1" applyAlignment="1">
      <alignment horizontal="right"/>
    </xf>
    <xf numFmtId="169" fontId="32" fillId="0" borderId="25" xfId="0" applyNumberFormat="1" applyFont="1" applyBorder="1" applyAlignment="1">
      <alignment horizontal="right"/>
    </xf>
    <xf numFmtId="164" fontId="36" fillId="8" borderId="7" xfId="0" applyNumberFormat="1" applyFont="1" applyFill="1" applyBorder="1" applyAlignment="1">
      <alignment horizontal="center"/>
    </xf>
    <xf numFmtId="165" fontId="36" fillId="9" borderId="7" xfId="0" applyNumberFormat="1" applyFont="1" applyFill="1" applyBorder="1" applyAlignment="1">
      <alignment horizontal="right"/>
    </xf>
    <xf numFmtId="49" fontId="28" fillId="4" borderId="17" xfId="0" applyNumberFormat="1" applyFont="1" applyFill="1" applyBorder="1" applyAlignment="1">
      <alignment horizontal="left" wrapText="1"/>
    </xf>
    <xf numFmtId="0" fontId="27" fillId="0" borderId="21" xfId="0" applyFont="1" applyBorder="1"/>
    <xf numFmtId="49" fontId="28" fillId="4" borderId="22" xfId="0" applyNumberFormat="1" applyFont="1" applyFill="1" applyBorder="1" applyAlignment="1">
      <alignment horizontal="left" wrapText="1"/>
    </xf>
    <xf numFmtId="49" fontId="28" fillId="0" borderId="0" xfId="0" applyNumberFormat="1" applyFont="1" applyAlignment="1">
      <alignment horizontal="left" wrapText="1"/>
    </xf>
    <xf numFmtId="0" fontId="26" fillId="3" borderId="23" xfId="0" applyFont="1" applyFill="1" applyBorder="1" applyAlignment="1">
      <alignment horizontal="center" wrapText="1"/>
    </xf>
    <xf numFmtId="49" fontId="28" fillId="4" borderId="20" xfId="0" applyNumberFormat="1" applyFont="1" applyFill="1" applyBorder="1" applyAlignment="1">
      <alignment horizontal="left" wrapText="1"/>
    </xf>
    <xf numFmtId="3" fontId="30" fillId="0" borderId="7" xfId="0" applyNumberFormat="1" applyFont="1" applyBorder="1" applyAlignment="1">
      <alignment horizontal="right"/>
    </xf>
    <xf numFmtId="164" fontId="30" fillId="48" borderId="7" xfId="0" applyNumberFormat="1" applyFont="1" applyFill="1" applyBorder="1" applyAlignment="1">
      <alignment horizontal="right"/>
    </xf>
    <xf numFmtId="173" fontId="30" fillId="48" borderId="7" xfId="0" applyNumberFormat="1" applyFont="1" applyFill="1" applyBorder="1" applyAlignment="1">
      <alignment horizontal="right"/>
    </xf>
    <xf numFmtId="168" fontId="30" fillId="48" borderId="7" xfId="0" applyNumberFormat="1" applyFont="1" applyFill="1" applyBorder="1" applyAlignment="1">
      <alignment horizontal="right"/>
    </xf>
    <xf numFmtId="49" fontId="32" fillId="48" borderId="7" xfId="0" applyNumberFormat="1" applyFont="1" applyFill="1" applyBorder="1" applyAlignment="1">
      <alignment horizontal="right"/>
    </xf>
    <xf numFmtId="49" fontId="36" fillId="5" borderId="5" xfId="0" applyNumberFormat="1" applyFont="1" applyFill="1" applyBorder="1" applyAlignment="1">
      <alignment horizontal="left"/>
    </xf>
    <xf numFmtId="164" fontId="36" fillId="6" borderId="6" xfId="0" applyNumberFormat="1" applyFont="1" applyFill="1" applyBorder="1" applyAlignment="1">
      <alignment horizontal="right"/>
    </xf>
    <xf numFmtId="49" fontId="37" fillId="10" borderId="8" xfId="0" applyNumberFormat="1" applyFont="1" applyFill="1" applyBorder="1" applyAlignment="1">
      <alignment horizontal="left"/>
    </xf>
    <xf numFmtId="165" fontId="37" fillId="11" borderId="9" xfId="0" applyNumberFormat="1" applyFont="1" applyFill="1" applyBorder="1" applyAlignment="1">
      <alignment horizontal="right"/>
    </xf>
    <xf numFmtId="49" fontId="36" fillId="12" borderId="10" xfId="0" applyNumberFormat="1" applyFont="1" applyFill="1" applyBorder="1" applyAlignment="1">
      <alignment horizontal="left"/>
    </xf>
    <xf numFmtId="173" fontId="30" fillId="0" borderId="0" xfId="0" applyNumberFormat="1" applyFont="1" applyAlignment="1">
      <alignment horizontal="right"/>
    </xf>
    <xf numFmtId="169" fontId="32" fillId="0" borderId="0" xfId="0" applyNumberFormat="1" applyFont="1" applyAlignment="1">
      <alignment horizontal="right"/>
    </xf>
    <xf numFmtId="168" fontId="31" fillId="49" borderId="0" xfId="0" applyNumberFormat="1" applyFont="1" applyFill="1" applyAlignment="1">
      <alignment horizontal="right"/>
    </xf>
    <xf numFmtId="170" fontId="32" fillId="0" borderId="0" xfId="0" applyNumberFormat="1" applyFont="1" applyAlignment="1">
      <alignment horizontal="right"/>
    </xf>
    <xf numFmtId="0" fontId="31" fillId="50" borderId="0" xfId="0" applyFont="1" applyFill="1"/>
    <xf numFmtId="169" fontId="31" fillId="50" borderId="0" xfId="0" applyNumberFormat="1" applyFont="1" applyFill="1"/>
    <xf numFmtId="169" fontId="35" fillId="0" borderId="0" xfId="0" applyNumberFormat="1" applyFont="1" applyAlignment="1">
      <alignment horizontal="right"/>
    </xf>
    <xf numFmtId="173" fontId="35" fillId="0" borderId="0" xfId="0" applyNumberFormat="1" applyFont="1" applyAlignment="1">
      <alignment horizontal="right"/>
    </xf>
    <xf numFmtId="0" fontId="26" fillId="51" borderId="24" xfId="0" applyFont="1" applyFill="1" applyBorder="1" applyAlignment="1">
      <alignment horizontal="center"/>
    </xf>
    <xf numFmtId="0" fontId="26" fillId="51" borderId="28" xfId="0" applyFont="1" applyFill="1" applyBorder="1" applyAlignment="1">
      <alignment horizontal="right"/>
    </xf>
    <xf numFmtId="0" fontId="26" fillId="51" borderId="25" xfId="0" applyFont="1" applyFill="1" applyBorder="1" applyAlignment="1">
      <alignment horizontal="right"/>
    </xf>
    <xf numFmtId="0" fontId="26" fillId="13" borderId="32" xfId="0" applyFont="1" applyFill="1" applyBorder="1" applyAlignment="1">
      <alignment horizontal="center" wrapText="1"/>
    </xf>
    <xf numFmtId="0" fontId="26" fillId="13" borderId="33" xfId="0" applyFont="1" applyFill="1" applyBorder="1" applyAlignment="1">
      <alignment horizontal="center" wrapText="1"/>
    </xf>
    <xf numFmtId="0" fontId="26" fillId="13" borderId="34" xfId="0" applyFont="1" applyFill="1" applyBorder="1" applyAlignment="1">
      <alignment horizontal="center" wrapText="1"/>
    </xf>
    <xf numFmtId="164" fontId="36" fillId="14" borderId="20" xfId="0" applyNumberFormat="1" applyFont="1" applyFill="1" applyBorder="1" applyAlignment="1">
      <alignment horizontal="center"/>
    </xf>
    <xf numFmtId="164" fontId="36" fillId="14" borderId="0" xfId="0" applyNumberFormat="1" applyFont="1" applyFill="1" applyAlignment="1">
      <alignment horizontal="center"/>
    </xf>
    <xf numFmtId="3" fontId="36" fillId="15" borderId="0" xfId="0" applyNumberFormat="1" applyFont="1" applyFill="1" applyAlignment="1">
      <alignment horizontal="center"/>
    </xf>
    <xf numFmtId="165" fontId="36" fillId="16" borderId="0" xfId="0" applyNumberFormat="1" applyFont="1" applyFill="1" applyAlignment="1">
      <alignment horizontal="right"/>
    </xf>
    <xf numFmtId="165" fontId="36" fillId="17" borderId="0" xfId="0" applyNumberFormat="1" applyFont="1" applyFill="1" applyAlignment="1">
      <alignment horizontal="right"/>
    </xf>
    <xf numFmtId="165" fontId="27" fillId="0" borderId="0" xfId="0" applyNumberFormat="1" applyFont="1"/>
    <xf numFmtId="167" fontId="36" fillId="18" borderId="0" xfId="0" applyNumberFormat="1" applyFont="1" applyFill="1" applyAlignment="1">
      <alignment horizontal="right"/>
    </xf>
    <xf numFmtId="165" fontId="36" fillId="16" borderId="21" xfId="0" applyNumberFormat="1" applyFont="1" applyFill="1" applyBorder="1" applyAlignment="1">
      <alignment horizontal="right"/>
    </xf>
    <xf numFmtId="164" fontId="36" fillId="19" borderId="20" xfId="0" applyNumberFormat="1" applyFont="1" applyFill="1" applyBorder="1" applyAlignment="1">
      <alignment horizontal="center"/>
    </xf>
    <xf numFmtId="164" fontId="36" fillId="19" borderId="0" xfId="0" applyNumberFormat="1" applyFont="1" applyFill="1" applyAlignment="1">
      <alignment horizontal="center"/>
    </xf>
    <xf numFmtId="3" fontId="36" fillId="20" borderId="0" xfId="0" applyNumberFormat="1" applyFont="1" applyFill="1" applyAlignment="1">
      <alignment horizontal="center"/>
    </xf>
    <xf numFmtId="165" fontId="36" fillId="21" borderId="0" xfId="0" applyNumberFormat="1" applyFont="1" applyFill="1" applyAlignment="1">
      <alignment horizontal="right"/>
    </xf>
    <xf numFmtId="167" fontId="36" fillId="22" borderId="0" xfId="0" applyNumberFormat="1" applyFont="1" applyFill="1" applyAlignment="1">
      <alignment horizontal="right"/>
    </xf>
    <xf numFmtId="165" fontId="36" fillId="21" borderId="21" xfId="0" applyNumberFormat="1" applyFont="1" applyFill="1" applyBorder="1" applyAlignment="1">
      <alignment horizontal="right"/>
    </xf>
    <xf numFmtId="164" fontId="36" fillId="23" borderId="20" xfId="0" applyNumberFormat="1" applyFont="1" applyFill="1" applyBorder="1" applyAlignment="1">
      <alignment horizontal="center"/>
    </xf>
    <xf numFmtId="164" fontId="36" fillId="23" borderId="0" xfId="0" applyNumberFormat="1" applyFont="1" applyFill="1" applyAlignment="1">
      <alignment horizontal="center"/>
    </xf>
    <xf numFmtId="3" fontId="36" fillId="24" borderId="0" xfId="0" applyNumberFormat="1" applyFont="1" applyFill="1" applyAlignment="1">
      <alignment horizontal="center"/>
    </xf>
    <xf numFmtId="165" fontId="36" fillId="25" borderId="0" xfId="0" applyNumberFormat="1" applyFont="1" applyFill="1" applyAlignment="1">
      <alignment horizontal="right"/>
    </xf>
    <xf numFmtId="167" fontId="36" fillId="26" borderId="0" xfId="0" applyNumberFormat="1" applyFont="1" applyFill="1" applyAlignment="1">
      <alignment horizontal="right"/>
    </xf>
    <xf numFmtId="165" fontId="36" fillId="25" borderId="21" xfId="0" applyNumberFormat="1" applyFont="1" applyFill="1" applyBorder="1" applyAlignment="1">
      <alignment horizontal="right"/>
    </xf>
    <xf numFmtId="0" fontId="28" fillId="27" borderId="35" xfId="0" applyFont="1" applyFill="1" applyBorder="1" applyAlignment="1">
      <alignment horizontal="left"/>
    </xf>
    <xf numFmtId="0" fontId="28" fillId="28" borderId="36" xfId="0" applyFont="1" applyFill="1" applyBorder="1" applyAlignment="1">
      <alignment horizontal="right"/>
    </xf>
    <xf numFmtId="165" fontId="28" fillId="29" borderId="36" xfId="0" applyNumberFormat="1" applyFont="1" applyFill="1" applyBorder="1" applyAlignment="1">
      <alignment horizontal="right"/>
    </xf>
    <xf numFmtId="0" fontId="28" fillId="28" borderId="37" xfId="0" applyFont="1" applyFill="1" applyBorder="1" applyAlignment="1">
      <alignment horizontal="right"/>
    </xf>
    <xf numFmtId="0" fontId="29" fillId="51" borderId="7" xfId="0" applyFont="1" applyFill="1" applyBorder="1"/>
    <xf numFmtId="173" fontId="30" fillId="52" borderId="0" xfId="0" applyNumberFormat="1" applyFont="1" applyFill="1" applyAlignment="1">
      <alignment horizontal="right"/>
    </xf>
    <xf numFmtId="169" fontId="32" fillId="52" borderId="0" xfId="0" applyNumberFormat="1" applyFont="1" applyFill="1" applyAlignment="1">
      <alignment horizontal="right"/>
    </xf>
    <xf numFmtId="168" fontId="31" fillId="52" borderId="0" xfId="0" applyNumberFormat="1" applyFont="1" applyFill="1" applyAlignment="1">
      <alignment horizontal="right"/>
    </xf>
    <xf numFmtId="169" fontId="32" fillId="52" borderId="0" xfId="1" applyNumberFormat="1" applyFont="1" applyFill="1" applyBorder="1" applyAlignment="1">
      <alignment horizontal="right"/>
    </xf>
    <xf numFmtId="170" fontId="32" fillId="52" borderId="0" xfId="0" applyNumberFormat="1" applyFont="1" applyFill="1" applyAlignment="1">
      <alignment horizontal="right"/>
    </xf>
    <xf numFmtId="171" fontId="30" fillId="52" borderId="0" xfId="1" applyNumberFormat="1" applyFont="1" applyFill="1" applyBorder="1"/>
    <xf numFmtId="172" fontId="30" fillId="52" borderId="0" xfId="1" applyNumberFormat="1" applyFont="1" applyFill="1" applyBorder="1"/>
    <xf numFmtId="0" fontId="32" fillId="52" borderId="0" xfId="0" applyFont="1" applyFill="1" applyAlignment="1">
      <alignment horizontal="right"/>
    </xf>
    <xf numFmtId="0" fontId="32" fillId="52" borderId="28" xfId="0" applyFont="1" applyFill="1" applyBorder="1" applyAlignment="1">
      <alignment horizontal="right"/>
    </xf>
    <xf numFmtId="165" fontId="36" fillId="52" borderId="7" xfId="0" applyNumberFormat="1" applyFont="1" applyFill="1" applyBorder="1" applyAlignment="1">
      <alignment horizontal="right"/>
    </xf>
    <xf numFmtId="0" fontId="39" fillId="51" borderId="7" xfId="0" applyFont="1" applyFill="1" applyBorder="1" applyAlignment="1">
      <alignment horizontal="left"/>
    </xf>
    <xf numFmtId="0" fontId="27" fillId="52" borderId="0" xfId="0" applyFont="1" applyFill="1"/>
    <xf numFmtId="169" fontId="32" fillId="0" borderId="39" xfId="0" applyNumberFormat="1" applyFont="1" applyBorder="1" applyAlignment="1">
      <alignment horizontal="right"/>
    </xf>
    <xf numFmtId="0" fontId="27" fillId="0" borderId="39" xfId="0" applyFont="1" applyBorder="1"/>
    <xf numFmtId="169" fontId="32" fillId="0" borderId="39" xfId="1" applyNumberFormat="1" applyFont="1" applyBorder="1" applyAlignment="1">
      <alignment horizontal="right"/>
    </xf>
    <xf numFmtId="170" fontId="32" fillId="0" borderId="39" xfId="0" applyNumberFormat="1" applyFont="1" applyBorder="1" applyAlignment="1">
      <alignment horizontal="right"/>
    </xf>
    <xf numFmtId="169" fontId="32" fillId="0" borderId="38" xfId="0" applyNumberFormat="1" applyFont="1" applyBorder="1" applyAlignment="1">
      <alignment horizontal="right"/>
    </xf>
    <xf numFmtId="169" fontId="35" fillId="0" borderId="39" xfId="0" applyNumberFormat="1" applyFont="1" applyBorder="1" applyAlignment="1">
      <alignment horizontal="right"/>
    </xf>
    <xf numFmtId="173" fontId="35" fillId="0" borderId="39" xfId="0" applyNumberFormat="1" applyFont="1" applyBorder="1" applyAlignment="1">
      <alignment horizontal="right"/>
    </xf>
    <xf numFmtId="169" fontId="32" fillId="0" borderId="40" xfId="0" applyNumberFormat="1" applyFont="1" applyBorder="1" applyAlignment="1">
      <alignment horizontal="right"/>
    </xf>
    <xf numFmtId="0" fontId="31" fillId="0" borderId="23" xfId="0" applyFont="1" applyBorder="1" applyAlignment="1">
      <alignment horizontal="left"/>
    </xf>
    <xf numFmtId="169" fontId="32" fillId="52" borderId="26" xfId="0" applyNumberFormat="1" applyFont="1" applyFill="1" applyBorder="1" applyAlignment="1">
      <alignment horizontal="right"/>
    </xf>
    <xf numFmtId="169" fontId="32" fillId="0" borderId="26" xfId="0" applyNumberFormat="1" applyFont="1" applyBorder="1" applyAlignment="1">
      <alignment horizontal="right"/>
    </xf>
    <xf numFmtId="169" fontId="32" fillId="0" borderId="27" xfId="0" applyNumberFormat="1" applyFont="1" applyBorder="1" applyAlignment="1">
      <alignment horizontal="right"/>
    </xf>
    <xf numFmtId="174" fontId="27" fillId="50" borderId="40" xfId="0" applyNumberFormat="1" applyFont="1" applyFill="1" applyBorder="1"/>
    <xf numFmtId="174" fontId="27" fillId="50" borderId="25" xfId="0" applyNumberFormat="1" applyFont="1" applyFill="1" applyBorder="1"/>
    <xf numFmtId="0" fontId="27" fillId="50" borderId="28" xfId="0" applyFont="1" applyFill="1" applyBorder="1"/>
    <xf numFmtId="173" fontId="30" fillId="48" borderId="31" xfId="0" applyNumberFormat="1" applyFont="1" applyFill="1" applyBorder="1" applyAlignment="1">
      <alignment horizontal="right"/>
    </xf>
    <xf numFmtId="0" fontId="29" fillId="51" borderId="0" xfId="0" applyFont="1" applyFill="1" applyAlignment="1">
      <alignment horizontal="center"/>
    </xf>
    <xf numFmtId="0" fontId="29" fillId="51" borderId="21" xfId="0" applyFont="1" applyFill="1" applyBorder="1" applyAlignment="1">
      <alignment horizontal="center"/>
    </xf>
    <xf numFmtId="0" fontId="29" fillId="51" borderId="26" xfId="0" applyFont="1" applyFill="1" applyBorder="1"/>
    <xf numFmtId="0" fontId="29" fillId="51" borderId="27" xfId="0" applyFont="1" applyFill="1" applyBorder="1"/>
    <xf numFmtId="173" fontId="30" fillId="0" borderId="39" xfId="0" applyNumberFormat="1" applyFont="1" applyBorder="1" applyAlignment="1">
      <alignment horizontal="right"/>
    </xf>
    <xf numFmtId="0" fontId="26" fillId="51" borderId="24" xfId="0" applyFont="1" applyFill="1" applyBorder="1" applyAlignment="1">
      <alignment horizontal="left"/>
    </xf>
    <xf numFmtId="0" fontId="41" fillId="53" borderId="0" xfId="0" applyFont="1" applyFill="1" applyAlignment="1">
      <alignment horizontal="center" wrapText="1"/>
    </xf>
    <xf numFmtId="165" fontId="42" fillId="0" borderId="0" xfId="0" applyNumberFormat="1" applyFont="1" applyAlignment="1">
      <alignment horizontal="right"/>
    </xf>
    <xf numFmtId="165" fontId="43" fillId="54" borderId="0" xfId="0" applyNumberFormat="1" applyFont="1" applyFill="1" applyAlignment="1">
      <alignment horizontal="right"/>
    </xf>
    <xf numFmtId="0" fontId="38" fillId="55" borderId="28" xfId="0" applyFont="1" applyFill="1" applyBorder="1" applyAlignment="1">
      <alignment horizontal="center" vertical="center"/>
    </xf>
    <xf numFmtId="0" fontId="38" fillId="55" borderId="28" xfId="0" applyFont="1" applyFill="1" applyBorder="1" applyAlignment="1">
      <alignment vertical="center"/>
    </xf>
    <xf numFmtId="0" fontId="31" fillId="55" borderId="28" xfId="0" applyFont="1" applyFill="1" applyBorder="1" applyAlignment="1">
      <alignment horizontal="center" vertical="center"/>
    </xf>
    <xf numFmtId="164" fontId="36" fillId="5" borderId="5" xfId="0" applyNumberFormat="1" applyFont="1" applyFill="1" applyBorder="1" applyAlignment="1">
      <alignment horizontal="left"/>
    </xf>
    <xf numFmtId="164" fontId="32" fillId="7" borderId="18" xfId="0" applyNumberFormat="1" applyFont="1" applyFill="1" applyBorder="1" applyAlignment="1">
      <alignment horizontal="right"/>
    </xf>
    <xf numFmtId="3" fontId="32" fillId="48" borderId="30" xfId="0" applyNumberFormat="1" applyFont="1" applyFill="1" applyBorder="1" applyAlignment="1">
      <alignment horizontal="right"/>
    </xf>
    <xf numFmtId="173" fontId="32" fillId="0" borderId="7" xfId="0" applyNumberFormat="1" applyFont="1" applyBorder="1" applyAlignment="1">
      <alignment horizontal="right"/>
    </xf>
    <xf numFmtId="3" fontId="36" fillId="0" borderId="7" xfId="0" applyNumberFormat="1" applyFont="1" applyBorder="1" applyAlignment="1">
      <alignment horizontal="right"/>
    </xf>
    <xf numFmtId="175" fontId="30" fillId="52" borderId="0" xfId="1" applyNumberFormat="1" applyFont="1" applyFill="1" applyBorder="1"/>
    <xf numFmtId="0" fontId="31" fillId="56" borderId="20" xfId="0" applyFont="1" applyFill="1" applyBorder="1" applyAlignment="1">
      <alignment horizontal="left"/>
    </xf>
    <xf numFmtId="169" fontId="32" fillId="56" borderId="0" xfId="0" applyNumberFormat="1" applyFont="1" applyFill="1" applyAlignment="1">
      <alignment horizontal="right"/>
    </xf>
    <xf numFmtId="169" fontId="32" fillId="56" borderId="21" xfId="0" applyNumberFormat="1" applyFont="1" applyFill="1" applyBorder="1" applyAlignment="1">
      <alignment horizontal="right"/>
    </xf>
    <xf numFmtId="169" fontId="32" fillId="56" borderId="39" xfId="0" applyNumberFormat="1" applyFont="1" applyFill="1" applyBorder="1" applyAlignment="1">
      <alignment horizontal="right"/>
    </xf>
    <xf numFmtId="0" fontId="29" fillId="51" borderId="26" xfId="0" applyFont="1" applyFill="1" applyBorder="1" applyAlignment="1">
      <alignment horizontal="left"/>
    </xf>
    <xf numFmtId="164" fontId="32" fillId="57" borderId="26" xfId="0" applyNumberFormat="1" applyFont="1" applyFill="1" applyBorder="1" applyAlignment="1">
      <alignment horizontal="left"/>
    </xf>
    <xf numFmtId="49" fontId="28" fillId="57" borderId="7" xfId="0" applyNumberFormat="1" applyFont="1" applyFill="1" applyBorder="1" applyAlignment="1">
      <alignment horizontal="left" wrapText="1"/>
    </xf>
    <xf numFmtId="49" fontId="31" fillId="57" borderId="7" xfId="0" applyNumberFormat="1" applyFont="1" applyFill="1" applyBorder="1" applyAlignment="1">
      <alignment horizontal="left" wrapText="1"/>
    </xf>
    <xf numFmtId="164" fontId="32" fillId="57" borderId="7" xfId="0" applyNumberFormat="1" applyFont="1" applyFill="1" applyBorder="1" applyAlignment="1">
      <alignment horizontal="left"/>
    </xf>
    <xf numFmtId="0" fontId="31" fillId="58" borderId="20" xfId="0" applyFont="1" applyFill="1" applyBorder="1" applyAlignment="1">
      <alignment horizontal="left" indent="1"/>
    </xf>
    <xf numFmtId="169" fontId="34" fillId="58" borderId="0" xfId="0" applyNumberFormat="1" applyFont="1" applyFill="1" applyAlignment="1">
      <alignment horizontal="right"/>
    </xf>
    <xf numFmtId="169" fontId="34" fillId="58" borderId="21" xfId="0" applyNumberFormat="1" applyFont="1" applyFill="1" applyBorder="1" applyAlignment="1">
      <alignment horizontal="right"/>
    </xf>
    <xf numFmtId="169" fontId="34" fillId="58" borderId="39" xfId="0" applyNumberFormat="1" applyFont="1" applyFill="1" applyBorder="1" applyAlignment="1">
      <alignment horizontal="right"/>
    </xf>
    <xf numFmtId="0" fontId="34" fillId="58" borderId="0" xfId="0" applyFont="1" applyFill="1"/>
    <xf numFmtId="169" fontId="27" fillId="59" borderId="21" xfId="0" applyNumberFormat="1" applyFont="1" applyFill="1" applyBorder="1"/>
    <xf numFmtId="169" fontId="34" fillId="60" borderId="21" xfId="0" applyNumberFormat="1" applyFont="1" applyFill="1" applyBorder="1"/>
    <xf numFmtId="49" fontId="33" fillId="4" borderId="7" xfId="0" applyNumberFormat="1" applyFont="1" applyFill="1" applyBorder="1" applyAlignment="1">
      <alignment horizontal="left" wrapText="1"/>
    </xf>
    <xf numFmtId="168" fontId="36" fillId="62" borderId="0" xfId="0" applyNumberFormat="1" applyFont="1" applyFill="1" applyAlignment="1">
      <alignment horizontal="right"/>
    </xf>
    <xf numFmtId="168" fontId="36" fillId="63" borderId="0" xfId="0" applyNumberFormat="1" applyFont="1" applyFill="1" applyAlignment="1">
      <alignment horizontal="right"/>
    </xf>
    <xf numFmtId="165" fontId="42" fillId="62" borderId="0" xfId="0" applyNumberFormat="1" applyFont="1" applyFill="1" applyAlignment="1">
      <alignment horizontal="right"/>
    </xf>
    <xf numFmtId="168" fontId="36" fillId="62" borderId="29" xfId="0" applyNumberFormat="1" applyFont="1" applyFill="1" applyBorder="1" applyAlignment="1">
      <alignment horizontal="right"/>
    </xf>
    <xf numFmtId="168" fontId="28" fillId="54" borderId="41" xfId="0" applyNumberFormat="1" applyFont="1" applyFill="1" applyBorder="1" applyAlignment="1">
      <alignment horizontal="right"/>
    </xf>
    <xf numFmtId="168" fontId="28" fillId="54" borderId="42" xfId="0" applyNumberFormat="1" applyFont="1" applyFill="1" applyBorder="1" applyAlignment="1">
      <alignment horizontal="right"/>
    </xf>
    <xf numFmtId="0" fontId="26" fillId="53" borderId="43" xfId="0" applyFont="1" applyFill="1" applyBorder="1" applyAlignment="1">
      <alignment horizontal="center" vertical="center" wrapText="1"/>
    </xf>
    <xf numFmtId="0" fontId="26" fillId="53" borderId="44" xfId="0" applyFont="1" applyFill="1" applyBorder="1" applyAlignment="1">
      <alignment horizontal="center" vertical="center" wrapText="1"/>
    </xf>
    <xf numFmtId="0" fontId="26" fillId="53" borderId="44" xfId="0" applyFont="1" applyFill="1" applyBorder="1" applyAlignment="1">
      <alignment horizontal="center" wrapText="1"/>
    </xf>
    <xf numFmtId="0" fontId="40" fillId="3" borderId="29" xfId="0" applyFont="1" applyFill="1" applyBorder="1" applyAlignment="1">
      <alignment horizontal="center" wrapText="1"/>
    </xf>
    <xf numFmtId="0" fontId="40" fillId="3" borderId="0" xfId="0" applyFont="1" applyFill="1" applyAlignment="1">
      <alignment horizontal="center" wrapText="1"/>
    </xf>
    <xf numFmtId="0" fontId="38" fillId="51" borderId="0" xfId="0" applyFont="1" applyFill="1" applyAlignment="1">
      <alignment horizontal="center" vertical="center"/>
    </xf>
    <xf numFmtId="0" fontId="26" fillId="61" borderId="0" xfId="0" applyFont="1" applyFill="1" applyAlignment="1">
      <alignment horizontal="center" vertical="center"/>
    </xf>
    <xf numFmtId="0" fontId="26" fillId="3" borderId="10" xfId="0" applyFont="1" applyFill="1" applyBorder="1" applyAlignment="1">
      <alignment horizontal="center" wrapText="1"/>
    </xf>
    <xf numFmtId="49" fontId="28" fillId="2" borderId="10" xfId="0" applyNumberFormat="1" applyFont="1" applyFill="1" applyBorder="1" applyAlignment="1">
      <alignment horizontal="left" wrapText="1"/>
    </xf>
    <xf numFmtId="168" fontId="36" fillId="0" borderId="10" xfId="0" applyNumberFormat="1" applyFont="1" applyBorder="1"/>
    <xf numFmtId="168" fontId="27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colors>
    <mruColors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as Jen" id="{4B8FC6E1-1B2E-4DB5-9A3D-D088D1302FA3}" userId="S::ljen@deodatecorp.com::c2fefb42-6d99-4c42-b5f9-bb25f5a0c68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9" dT="2026-03-18T18:43:52.12" personId="{4B8FC6E1-1B2E-4DB5-9A3D-D088D1302FA3}" id="{60EF51EA-9EF8-48C9-90A4-51416E0208D9}">
    <text>Original: 'Within 30 days of Tenant occupancy'. Set to lease commencement date for schedule calculation purposes. Adjust if actual date differs.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9" dT="2026-03-18T18:43:52.12" personId="{4B8FC6E1-1B2E-4DB5-9A3D-D088D1302FA3}" id="{E4061963-FFCB-4380-BA03-AA0452768BA6}">
    <text>Original: 'Within 30 days of Tenant occupancy'. Set to lease commencement date for schedule calculation purposes. Adjust if actual date differs.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F2CE68-EA29-4D2A-85FD-B10BD37F485C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703C-4321-4ED9-B233-3501CF2703BD}">
  <dimension ref="A1:AD199"/>
  <sheetViews>
    <sheetView tabSelected="1" topLeftCell="A60" zoomScale="70" zoomScaleNormal="70" workbookViewId="0">
      <selection activeCell="Q69" sqref="Q69"/>
    </sheetView>
  </sheetViews>
  <sheetFormatPr defaultRowHeight="15.75" x14ac:dyDescent="0.25"/>
  <cols>
    <col min="1" max="1" width="23.140625" style="25" bestFit="1" customWidth="1"/>
    <col min="2" max="2" width="45.7109375" style="25" bestFit="1" customWidth="1"/>
    <col min="3" max="3" width="15.140625" style="25" bestFit="1" customWidth="1"/>
    <col min="4" max="4" width="37.7109375" style="25" bestFit="1" customWidth="1"/>
    <col min="5" max="5" width="50.28515625" style="25" bestFit="1" customWidth="1"/>
    <col min="6" max="6" width="28.7109375" style="25" bestFit="1" customWidth="1"/>
    <col min="7" max="7" width="37.7109375" style="25" bestFit="1" customWidth="1"/>
    <col min="8" max="8" width="27.5703125" style="25" bestFit="1" customWidth="1"/>
    <col min="9" max="10" width="41.5703125" style="25" bestFit="1" customWidth="1"/>
    <col min="11" max="11" width="34.5703125" style="25" bestFit="1" customWidth="1"/>
    <col min="12" max="12" width="46.42578125" style="25" bestFit="1" customWidth="1"/>
    <col min="13" max="13" width="35.42578125" style="25" bestFit="1" customWidth="1"/>
    <col min="14" max="14" width="41.5703125" style="25" bestFit="1" customWidth="1"/>
    <col min="15" max="15" width="34.5703125" style="25" bestFit="1" customWidth="1"/>
    <col min="16" max="16" width="46.42578125" style="25" bestFit="1" customWidth="1"/>
    <col min="17" max="17" width="17.85546875" style="25" customWidth="1"/>
    <col min="18" max="18" width="15.85546875" style="25" customWidth="1"/>
    <col min="19" max="19" width="15.140625" style="25" bestFit="1" customWidth="1"/>
    <col min="20" max="22" width="16.42578125" style="25" bestFit="1" customWidth="1"/>
    <col min="23" max="26" width="16.42578125" style="25" customWidth="1"/>
    <col min="27" max="27" width="16.42578125" style="25" bestFit="1" customWidth="1"/>
    <col min="28" max="16384" width="9.140625" style="25"/>
  </cols>
  <sheetData>
    <row r="1" spans="1:30" x14ac:dyDescent="0.25">
      <c r="T1"/>
      <c r="AD1"/>
    </row>
    <row r="2" spans="1:30" ht="27.95" customHeight="1" x14ac:dyDescent="0.45">
      <c r="A2" s="24">
        <v>1</v>
      </c>
      <c r="B2" s="187" t="s">
        <v>101</v>
      </c>
      <c r="C2" s="188"/>
      <c r="D2" s="188"/>
      <c r="E2" s="188"/>
      <c r="F2" s="188"/>
      <c r="T2"/>
      <c r="AD2"/>
    </row>
    <row r="3" spans="1:30" x14ac:dyDescent="0.25">
      <c r="A3" s="26"/>
      <c r="T3"/>
      <c r="AD3"/>
    </row>
    <row r="4" spans="1:30" x14ac:dyDescent="0.25">
      <c r="A4" s="24">
        <v>2</v>
      </c>
      <c r="B4" s="27" t="s">
        <v>100</v>
      </c>
      <c r="C4" s="27"/>
      <c r="E4" s="191" t="s">
        <v>149</v>
      </c>
      <c r="F4" s="191"/>
    </row>
    <row r="5" spans="1:30" ht="21.75" customHeight="1" x14ac:dyDescent="0.25">
      <c r="E5" s="192" t="s">
        <v>150</v>
      </c>
      <c r="F5" s="193">
        <f>IFERROR(_xlfn.XLOOKUP($C$13,$C$75:$C$198,$P$75:$P$198,"",0),INDEX($P$75:$P$198,MATCH($C$13,$C$75:$C$198,0)))</f>
        <v>0</v>
      </c>
    </row>
    <row r="6" spans="1:30" x14ac:dyDescent="0.25">
      <c r="B6" s="28" t="s">
        <v>74</v>
      </c>
      <c r="C6" s="28"/>
      <c r="E6" s="192" t="s">
        <v>152</v>
      </c>
      <c r="F6" s="193">
        <f>IFERROR(_xlfn.XLOOKUP($C$13,$C$75:$C$198,$Q$75:$Q$198,"",0),INDEX($Q$75:$Q$198,MATCH($C$13,$C$75:$C$198,0)))</f>
        <v>0</v>
      </c>
    </row>
    <row r="7" spans="1:30" ht="18" customHeight="1" x14ac:dyDescent="0.25">
      <c r="A7" s="24">
        <v>3</v>
      </c>
      <c r="B7" s="33" t="s">
        <v>0</v>
      </c>
      <c r="C7" s="34"/>
      <c r="E7" s="192" t="s">
        <v>151</v>
      </c>
      <c r="F7" s="193">
        <f>IFERROR(_xlfn.XLOOKUP($C$13,$C$75:$C$198,$R$75:$R$198,"",0),INDEX($R$75:$R$198,MATCH($C$13,$C$75:$C$198,0)))</f>
        <v>0</v>
      </c>
      <c r="T7"/>
    </row>
    <row r="8" spans="1:30" ht="18" customHeight="1" x14ac:dyDescent="0.25">
      <c r="A8" s="24">
        <v>4</v>
      </c>
      <c r="B8" s="35" t="s">
        <v>4</v>
      </c>
      <c r="C8" s="67"/>
      <c r="E8" s="192" t="s">
        <v>153</v>
      </c>
      <c r="F8" s="193">
        <f>IFERROR(_xlfn.XLOOKUP($C$13,$C$75:$C$198,$S$75:$S$198,"",0),INDEX($S$75:$S$198,MATCH($C$13,$C$75:$C$198,0)))</f>
        <v>0</v>
      </c>
    </row>
    <row r="9" spans="1:30" ht="18" customHeight="1" x14ac:dyDescent="0.25">
      <c r="A9" s="24">
        <v>5</v>
      </c>
      <c r="B9" s="35" t="s">
        <v>73</v>
      </c>
      <c r="C9" s="67"/>
      <c r="G9" s="194"/>
    </row>
    <row r="10" spans="1:30" ht="18" customHeight="1" x14ac:dyDescent="0.25">
      <c r="A10" s="24">
        <v>6</v>
      </c>
      <c r="B10" s="35" t="s">
        <v>75</v>
      </c>
      <c r="C10" s="157">
        <f>DATEDIF(C8,C11,"M")+1</f>
        <v>1</v>
      </c>
    </row>
    <row r="11" spans="1:30" ht="18" customHeight="1" x14ac:dyDescent="0.35">
      <c r="A11" s="24">
        <v>7</v>
      </c>
      <c r="B11" s="35" t="s">
        <v>6</v>
      </c>
      <c r="C11" s="67"/>
      <c r="E11" s="125" t="s">
        <v>120</v>
      </c>
    </row>
    <row r="12" spans="1:30" ht="18" customHeight="1" x14ac:dyDescent="0.25">
      <c r="A12" s="24">
        <v>8</v>
      </c>
      <c r="B12" s="42" t="s">
        <v>76</v>
      </c>
      <c r="C12" s="36"/>
      <c r="E12" s="114" t="s">
        <v>102</v>
      </c>
      <c r="F12" s="142">
        <v>7.0000000000000007E-2</v>
      </c>
      <c r="G12" s="165"/>
      <c r="H12" s="145"/>
      <c r="I12" s="146"/>
    </row>
    <row r="13" spans="1:30" ht="18" customHeight="1" x14ac:dyDescent="0.25">
      <c r="A13" s="24">
        <v>9</v>
      </c>
      <c r="B13" s="45" t="s">
        <v>77</v>
      </c>
      <c r="C13" s="157">
        <f>IFERROR(MATCH(C12,A75:A198,1),1)</f>
        <v>1</v>
      </c>
      <c r="E13" s="29" t="s">
        <v>108</v>
      </c>
      <c r="F13" s="168" t="s">
        <v>76</v>
      </c>
      <c r="G13" s="169">
        <f>C12</f>
        <v>0</v>
      </c>
      <c r="H13" s="143"/>
      <c r="I13" s="144"/>
    </row>
    <row r="14" spans="1:30" ht="18" customHeight="1" x14ac:dyDescent="0.25">
      <c r="B14" s="45" t="s">
        <v>78</v>
      </c>
      <c r="C14" s="157">
        <f>MAX(0,C10-C13+1)</f>
        <v>1</v>
      </c>
      <c r="E14" s="84"/>
      <c r="F14" s="85" t="s">
        <v>81</v>
      </c>
      <c r="G14" s="85" t="s">
        <v>82</v>
      </c>
      <c r="H14" s="85" t="s">
        <v>83</v>
      </c>
      <c r="I14" s="86" t="s">
        <v>84</v>
      </c>
    </row>
    <row r="15" spans="1:30" ht="18" customHeight="1" x14ac:dyDescent="0.25">
      <c r="B15" s="45" t="s">
        <v>79</v>
      </c>
      <c r="C15" s="157">
        <f>C13</f>
        <v>1</v>
      </c>
      <c r="E15" s="37" t="s">
        <v>85</v>
      </c>
      <c r="F15" s="115">
        <v>0</v>
      </c>
      <c r="G15" s="76">
        <v>0.1</v>
      </c>
      <c r="H15" s="76">
        <v>0.2</v>
      </c>
      <c r="I15" s="38">
        <v>0.3</v>
      </c>
    </row>
    <row r="16" spans="1:30" ht="18" customHeight="1" x14ac:dyDescent="0.25">
      <c r="B16" s="45" t="s">
        <v>127</v>
      </c>
      <c r="C16" s="157">
        <f>12-MOD(C13-1,12)</f>
        <v>12</v>
      </c>
      <c r="E16" s="37" t="s">
        <v>136</v>
      </c>
      <c r="F16" s="116">
        <f>INDEX(E$75:E$198,MATCH($C$13,C$75:C$198,0))</f>
        <v>0</v>
      </c>
      <c r="G16" s="77">
        <f>$F$16*(1-G15)</f>
        <v>0</v>
      </c>
      <c r="H16" s="77">
        <f>$F$16*(1-H15)</f>
        <v>0</v>
      </c>
      <c r="I16" s="39">
        <f>$F$16*(1-I15)</f>
        <v>0</v>
      </c>
    </row>
    <row r="17" spans="1:10" ht="18" customHeight="1" x14ac:dyDescent="0.25">
      <c r="E17" s="40" t="s">
        <v>86</v>
      </c>
      <c r="F17" s="117">
        <f>IF($C$7=0,0,F16/$C$7)</f>
        <v>0</v>
      </c>
      <c r="G17" s="78">
        <f>IF($C$7=0,0,G16/$C$7)</f>
        <v>0</v>
      </c>
      <c r="H17" s="78">
        <f>IF($C$7=0,0,H16/$C$7)</f>
        <v>0</v>
      </c>
      <c r="I17" s="41">
        <f>IF($C$7=0,0,I16/$C$7)</f>
        <v>0</v>
      </c>
    </row>
    <row r="18" spans="1:10" ht="18" customHeight="1" x14ac:dyDescent="0.25">
      <c r="B18" s="27" t="s">
        <v>113</v>
      </c>
      <c r="C18" s="27"/>
      <c r="E18" s="37" t="s">
        <v>87</v>
      </c>
      <c r="F18" s="116">
        <f>INDEX(M$75:M$198,MATCH($C$13,C$75:C$198,0))</f>
        <v>0</v>
      </c>
      <c r="G18" s="77">
        <f>F18</f>
        <v>0</v>
      </c>
      <c r="H18" s="77">
        <f>G18</f>
        <v>0</v>
      </c>
      <c r="I18" s="39">
        <f>H18</f>
        <v>0</v>
      </c>
    </row>
    <row r="19" spans="1:10" ht="18" customHeight="1" x14ac:dyDescent="0.25">
      <c r="B19" s="27" t="s">
        <v>80</v>
      </c>
      <c r="C19" s="50">
        <f>C12</f>
        <v>0</v>
      </c>
      <c r="E19" s="37" t="s">
        <v>88</v>
      </c>
      <c r="F19" s="118">
        <f>F16+F18</f>
        <v>0</v>
      </c>
      <c r="G19" s="43">
        <f>G16+G18</f>
        <v>0</v>
      </c>
      <c r="H19" s="43">
        <f>H16+H18</f>
        <v>0</v>
      </c>
      <c r="I19" s="44">
        <f>I16+I18</f>
        <v>0</v>
      </c>
    </row>
    <row r="20" spans="1:10" ht="18" customHeight="1" x14ac:dyDescent="0.25">
      <c r="B20" s="35" t="s">
        <v>103</v>
      </c>
      <c r="C20" s="156" t="str">
        <f>TEXT(C12,"MMMM")</f>
        <v>January</v>
      </c>
      <c r="E20" s="37" t="s">
        <v>89</v>
      </c>
      <c r="F20" s="119">
        <f>IF($C$7=0,0,F19/$C$7)</f>
        <v>0</v>
      </c>
      <c r="G20" s="79">
        <f>IF($C$7=0,0,G19/$C$7)</f>
        <v>0</v>
      </c>
      <c r="H20" s="79">
        <f>IF($C$7=0,0,H19/$C$7)</f>
        <v>0</v>
      </c>
      <c r="I20" s="46">
        <f>IF($C$7=0,0,I19/$C$7)</f>
        <v>0</v>
      </c>
    </row>
    <row r="21" spans="1:10" ht="18" customHeight="1" x14ac:dyDescent="0.25">
      <c r="A21" s="24">
        <v>10</v>
      </c>
      <c r="B21" s="35" t="s">
        <v>99</v>
      </c>
      <c r="C21" s="52"/>
      <c r="E21" s="161" t="s">
        <v>90</v>
      </c>
      <c r="F21" s="162" cm="1">
        <f t="array" ref="F21">SUMPRODUCT(($C$75:$C$198&gt;=IF($C$13=0,1,$C$13))*N$75:N$198)</f>
        <v>0</v>
      </c>
      <c r="G21" s="162" cm="1">
        <f t="array" ref="G21">SUMPRODUCT(($C$75:$C$198&gt;=IF($C$13=0,1,$C$13))*T$75:T$198)</f>
        <v>0</v>
      </c>
      <c r="H21" s="162" cm="1">
        <f t="array" ref="H21">SUMPRODUCT(($C$75:$C$198&gt;=IF($C$13=0,1,$C$13))*U$75:U$198)</f>
        <v>0</v>
      </c>
      <c r="I21" s="163" cm="1">
        <f t="array" ref="I21">SUMPRODUCT(($C$75:$C$198&gt;=IF($C$13=0,1,$C$13))*V$75:V$198)</f>
        <v>0</v>
      </c>
    </row>
    <row r="22" spans="1:10" ht="18" customHeight="1" x14ac:dyDescent="0.25">
      <c r="A22" s="24">
        <v>11</v>
      </c>
      <c r="B22" s="54" t="s">
        <v>19</v>
      </c>
      <c r="C22" s="52"/>
      <c r="E22" s="170" t="s">
        <v>135</v>
      </c>
      <c r="F22" s="174">
        <f>0</f>
        <v>0</v>
      </c>
      <c r="G22" s="171">
        <f>F21-G21</f>
        <v>0</v>
      </c>
      <c r="H22" s="171">
        <f>F21-H21</f>
        <v>0</v>
      </c>
      <c r="I22" s="172">
        <f>F21-I21</f>
        <v>0</v>
      </c>
    </row>
    <row r="23" spans="1:10" ht="18" customHeight="1" x14ac:dyDescent="0.25">
      <c r="A23" s="24">
        <v>12</v>
      </c>
      <c r="B23" s="54" t="s">
        <v>23</v>
      </c>
      <c r="C23" s="52"/>
      <c r="E23" s="47" t="s">
        <v>91</v>
      </c>
      <c r="F23" s="160"/>
      <c r="G23" s="77">
        <f>G16*$F$23</f>
        <v>0</v>
      </c>
      <c r="H23" s="77">
        <f>H16*$F$23</f>
        <v>0</v>
      </c>
      <c r="I23" s="39">
        <f>I16*$F$23</f>
        <v>0</v>
      </c>
    </row>
    <row r="24" spans="1:10" ht="18" customHeight="1" x14ac:dyDescent="0.25">
      <c r="B24" s="60" t="s">
        <v>15</v>
      </c>
      <c r="C24" s="52"/>
      <c r="E24" s="47" t="s">
        <v>92</v>
      </c>
      <c r="F24" s="121"/>
      <c r="G24" s="77">
        <f>$F$24*$C$7</f>
        <v>0</v>
      </c>
      <c r="H24" s="77">
        <f>$F$24*$C$7</f>
        <v>0</v>
      </c>
      <c r="I24" s="39">
        <f>$F$24*$C$7</f>
        <v>0</v>
      </c>
    </row>
    <row r="25" spans="1:10" x14ac:dyDescent="0.25">
      <c r="B25" s="54" t="s">
        <v>27</v>
      </c>
      <c r="C25" s="52"/>
      <c r="E25" s="48" t="s">
        <v>119</v>
      </c>
      <c r="F25" s="80" t="s">
        <v>95</v>
      </c>
      <c r="G25" s="81">
        <f>SUM(G22:G24)</f>
        <v>0</v>
      </c>
      <c r="H25" s="81">
        <f>SUM(H22:H24)</f>
        <v>0</v>
      </c>
      <c r="I25" s="49">
        <f>SUM(I22:I24)</f>
        <v>0</v>
      </c>
    </row>
    <row r="26" spans="1:10" x14ac:dyDescent="0.25">
      <c r="B26" s="54" t="s">
        <v>30</v>
      </c>
      <c r="C26" s="52"/>
      <c r="E26" s="135" t="s">
        <v>93</v>
      </c>
      <c r="F26" s="136" cm="1">
        <f t="array" ref="F26">SUMPRODUCT(($C$75:$C$198&gt;=IF($C$13=0,1,$C$13))*N$75:N$198/(1+$F$12/12)^($C$75:$C$198-IF($C$13=0,0,$C$13)+1))</f>
        <v>0</v>
      </c>
      <c r="G26" s="137" cm="1">
        <f t="array" ref="G26">SUMPRODUCT(($C$75:$C$198&gt;=IF($C$13=0,1,$C$13))*T$75:T$198/(1+$F$12/12)^($C$75:$C$198-IF($C$13=0,0,$C$13)+1))</f>
        <v>0</v>
      </c>
      <c r="H26" s="137" cm="1">
        <f t="array" ref="H26">SUMPRODUCT(($C$75:$C$198&gt;=IF($C$13=0,1,$C$13))*U$75:U$198/(1+$F$12/12)^($C$75:$C$198-IF($C$13=0,0,$C$13)+1))</f>
        <v>0</v>
      </c>
      <c r="I26" s="138" cm="1">
        <f t="array" ref="I26">SUMPRODUCT(($C$75:$C$198&gt;=IF($C$13=0,1,$C$13))*V$75:V$198/(1+$F$12/12)^($C$75:$C$198-IF($C$13=0,0,$C$13)+1))</f>
        <v>0</v>
      </c>
    </row>
    <row r="27" spans="1:10" x14ac:dyDescent="0.25">
      <c r="E27" s="47" t="s">
        <v>94</v>
      </c>
      <c r="F27" s="122" t="s">
        <v>95</v>
      </c>
      <c r="G27" s="82">
        <f>F26-G26</f>
        <v>0</v>
      </c>
      <c r="H27" s="82">
        <f>F26-H26</f>
        <v>0</v>
      </c>
      <c r="I27" s="51">
        <f>F26-I26</f>
        <v>0</v>
      </c>
    </row>
    <row r="28" spans="1:10" x14ac:dyDescent="0.25">
      <c r="B28" s="27" t="s">
        <v>125</v>
      </c>
      <c r="C28" s="27"/>
      <c r="E28" s="47" t="s">
        <v>96</v>
      </c>
      <c r="F28" s="122" t="s">
        <v>95</v>
      </c>
      <c r="G28" s="83">
        <f>IFERROR((F26-G26)/F26,0)</f>
        <v>0</v>
      </c>
      <c r="H28" s="83">
        <f>IFERROR((F26-H26)/F26,0)</f>
        <v>0</v>
      </c>
      <c r="I28" s="53">
        <f>IFERROR((F26-I26)/F26,0)</f>
        <v>0</v>
      </c>
    </row>
    <row r="29" spans="1:10" x14ac:dyDescent="0.25">
      <c r="B29" s="35" t="s">
        <v>9</v>
      </c>
      <c r="C29" s="32"/>
      <c r="E29" s="55" t="s">
        <v>128</v>
      </c>
      <c r="F29" s="123">
        <f>SUM(N75:N198)</f>
        <v>0</v>
      </c>
      <c r="G29" s="56">
        <f>SUM(T75:T198)</f>
        <v>0</v>
      </c>
      <c r="H29" s="56">
        <f>SUM(U75:U198)</f>
        <v>0</v>
      </c>
      <c r="I29" s="57">
        <f>SUM(V75:V198)</f>
        <v>0</v>
      </c>
    </row>
    <row r="30" spans="1:10" x14ac:dyDescent="0.25">
      <c r="B30" s="54" t="s">
        <v>17</v>
      </c>
      <c r="C30" s="32"/>
      <c r="E30" s="58" t="s">
        <v>129</v>
      </c>
      <c r="F30" s="124">
        <f>F18*(1-F15)</f>
        <v>0</v>
      </c>
      <c r="G30" s="59">
        <f>F18*(1-G15)</f>
        <v>0</v>
      </c>
      <c r="H30" s="59">
        <f>F18*(1-H15)</f>
        <v>0</v>
      </c>
      <c r="I30" s="59">
        <f>F18*(1-I15)</f>
        <v>0</v>
      </c>
    </row>
    <row r="31" spans="1:10" x14ac:dyDescent="0.25">
      <c r="B31" s="54" t="s">
        <v>21</v>
      </c>
      <c r="C31" s="32"/>
    </row>
    <row r="32" spans="1:10" x14ac:dyDescent="0.25">
      <c r="B32" s="54" t="s">
        <v>25</v>
      </c>
      <c r="C32" s="32"/>
      <c r="E32" s="29" t="s">
        <v>109</v>
      </c>
      <c r="F32" s="167" t="s">
        <v>76</v>
      </c>
      <c r="G32" s="166">
        <f>C12</f>
        <v>0</v>
      </c>
      <c r="H32" s="30"/>
      <c r="I32" s="30"/>
      <c r="J32" s="31"/>
    </row>
    <row r="33" spans="1:10" x14ac:dyDescent="0.25">
      <c r="B33" s="54" t="s">
        <v>29</v>
      </c>
      <c r="C33" s="32"/>
      <c r="E33" s="148"/>
      <c r="F33" s="85" t="s">
        <v>139</v>
      </c>
      <c r="G33" s="85" t="s">
        <v>140</v>
      </c>
      <c r="H33" s="85" t="s">
        <v>141</v>
      </c>
      <c r="I33" s="85" t="s">
        <v>142</v>
      </c>
      <c r="J33" s="86" t="s">
        <v>143</v>
      </c>
    </row>
    <row r="34" spans="1:10" x14ac:dyDescent="0.25">
      <c r="B34" s="62" t="s">
        <v>31</v>
      </c>
      <c r="C34" s="32"/>
      <c r="E34" s="37" t="s">
        <v>110</v>
      </c>
      <c r="F34" s="115">
        <v>0</v>
      </c>
      <c r="G34" s="147">
        <v>0.2</v>
      </c>
      <c r="H34" s="147">
        <v>0.3</v>
      </c>
      <c r="I34" s="147">
        <v>0.4</v>
      </c>
      <c r="J34" s="38">
        <v>0.5</v>
      </c>
    </row>
    <row r="35" spans="1:10" x14ac:dyDescent="0.25">
      <c r="B35" s="63"/>
      <c r="E35" s="37" t="s">
        <v>136</v>
      </c>
      <c r="F35" s="116">
        <f>F16</f>
        <v>0</v>
      </c>
      <c r="G35" s="127">
        <f>F35</f>
        <v>0</v>
      </c>
      <c r="H35" s="127">
        <f>F35</f>
        <v>0</v>
      </c>
      <c r="I35" s="127">
        <f>F35</f>
        <v>0</v>
      </c>
      <c r="J35" s="39">
        <f>F35</f>
        <v>0</v>
      </c>
    </row>
    <row r="36" spans="1:10" x14ac:dyDescent="0.25">
      <c r="B36" s="64" t="s">
        <v>112</v>
      </c>
      <c r="C36" s="64"/>
      <c r="E36" s="40" t="s">
        <v>86</v>
      </c>
      <c r="F36" s="126">
        <f>IF($C$7=0,0,F35/$C$7)</f>
        <v>0</v>
      </c>
      <c r="G36" s="128">
        <f>IF($C$7=0,0,G35/$C$7)</f>
        <v>0</v>
      </c>
      <c r="H36" s="128">
        <f>IF($C$7=0,0,H35/$C$7)</f>
        <v>0</v>
      </c>
      <c r="I36" s="128">
        <f>IF($C$7=0,0,I35/$C$7)</f>
        <v>0</v>
      </c>
      <c r="J36" s="61">
        <f>IF($C$7=0,0,J35/$C$7)</f>
        <v>0</v>
      </c>
    </row>
    <row r="37" spans="1:10" x14ac:dyDescent="0.25">
      <c r="B37" s="65" t="s">
        <v>106</v>
      </c>
      <c r="C37" s="66"/>
      <c r="E37" s="37" t="s">
        <v>137</v>
      </c>
      <c r="F37" s="116">
        <f>F18</f>
        <v>0</v>
      </c>
      <c r="G37" s="127">
        <f>F37</f>
        <v>0</v>
      </c>
      <c r="H37" s="127">
        <f>F37</f>
        <v>0</v>
      </c>
      <c r="I37" s="127">
        <f>F37</f>
        <v>0</v>
      </c>
      <c r="J37" s="61"/>
    </row>
    <row r="38" spans="1:10" x14ac:dyDescent="0.25">
      <c r="B38" s="65" t="s">
        <v>104</v>
      </c>
      <c r="C38" s="67"/>
      <c r="E38" s="37" t="s">
        <v>88</v>
      </c>
      <c r="F38" s="118">
        <f>F35+F37</f>
        <v>0</v>
      </c>
      <c r="G38" s="129">
        <f>G35+G37</f>
        <v>0</v>
      </c>
      <c r="H38" s="129">
        <f>H35+H37</f>
        <v>0</v>
      </c>
      <c r="I38" s="129">
        <f>I35+I37</f>
        <v>0</v>
      </c>
      <c r="J38" s="61"/>
    </row>
    <row r="39" spans="1:10" x14ac:dyDescent="0.25">
      <c r="B39" s="65" t="s">
        <v>105</v>
      </c>
      <c r="C39" s="67"/>
      <c r="E39" s="37" t="s">
        <v>89</v>
      </c>
      <c r="F39" s="119">
        <f>IF($C$7=0,0,F38/$C$7)</f>
        <v>0</v>
      </c>
      <c r="G39" s="130">
        <f>IF($C$7=0,0,G38/$C$7)</f>
        <v>0</v>
      </c>
      <c r="H39" s="130">
        <f>IF($C$7=0,0,H38/$C$7)</f>
        <v>0</v>
      </c>
      <c r="I39" s="130">
        <f>IF($C$7=0,0,I38/$C$7)</f>
        <v>0</v>
      </c>
      <c r="J39" s="61"/>
    </row>
    <row r="40" spans="1:10" ht="31.5" x14ac:dyDescent="0.25">
      <c r="B40" s="65" t="s">
        <v>134</v>
      </c>
      <c r="C40" s="158">
        <f>IF(C21=0,0,C41/C21)</f>
        <v>0</v>
      </c>
      <c r="E40" s="161" t="s">
        <v>138</v>
      </c>
      <c r="F40" s="162">
        <f>F21</f>
        <v>0</v>
      </c>
      <c r="G40" s="164">
        <f>F40*(1-G34)</f>
        <v>0</v>
      </c>
      <c r="H40" s="164">
        <f>F40*(1-H34)</f>
        <v>0</v>
      </c>
      <c r="I40" s="164">
        <f>F40*(1-I34)</f>
        <v>0</v>
      </c>
      <c r="J40" s="175">
        <f>F40*(1-J34)</f>
        <v>0</v>
      </c>
    </row>
    <row r="41" spans="1:10" x14ac:dyDescent="0.25">
      <c r="A41" s="24">
        <v>13</v>
      </c>
      <c r="B41" s="65" t="s">
        <v>107</v>
      </c>
      <c r="C41" s="69"/>
      <c r="E41" s="170" t="s">
        <v>135</v>
      </c>
      <c r="F41" s="174">
        <f>0</f>
        <v>0</v>
      </c>
      <c r="G41" s="173">
        <f>F40-G40</f>
        <v>0</v>
      </c>
      <c r="H41" s="173">
        <f>F40-H40</f>
        <v>0</v>
      </c>
      <c r="I41" s="173">
        <f>F40-I40</f>
        <v>0</v>
      </c>
      <c r="J41" s="176">
        <f>F40-J40</f>
        <v>0</v>
      </c>
    </row>
    <row r="42" spans="1:10" ht="47.25" x14ac:dyDescent="0.25">
      <c r="A42" s="24">
        <v>14</v>
      </c>
      <c r="B42" s="177" t="s">
        <v>132</v>
      </c>
      <c r="C42" s="70" t="s">
        <v>133</v>
      </c>
      <c r="E42" s="47" t="s">
        <v>91</v>
      </c>
      <c r="F42" s="120"/>
      <c r="G42" s="127">
        <f>F35*$F$42</f>
        <v>0</v>
      </c>
      <c r="H42" s="127">
        <f>F35*$F$42</f>
        <v>0</v>
      </c>
      <c r="I42" s="127">
        <f>F35*$F$42</f>
        <v>0</v>
      </c>
      <c r="J42" s="61"/>
    </row>
    <row r="43" spans="1:10" x14ac:dyDescent="0.25">
      <c r="E43" s="47" t="s">
        <v>92</v>
      </c>
      <c r="F43" s="121"/>
      <c r="G43" s="127">
        <f>$F$24*$C$7</f>
        <v>0</v>
      </c>
      <c r="H43" s="127">
        <f>$F$24*$C$7</f>
        <v>0</v>
      </c>
      <c r="I43" s="127">
        <f>$F$24*$C$7</f>
        <v>0</v>
      </c>
      <c r="J43" s="61"/>
    </row>
    <row r="44" spans="1:10" x14ac:dyDescent="0.25">
      <c r="A44" s="24">
        <v>15</v>
      </c>
      <c r="B44" s="64" t="s">
        <v>114</v>
      </c>
      <c r="C44" s="64"/>
      <c r="E44" s="48" t="s">
        <v>119</v>
      </c>
      <c r="F44" s="141" t="str">
        <f>"-"</f>
        <v>-</v>
      </c>
      <c r="G44" s="139">
        <f>SUM(G41:G43)</f>
        <v>0</v>
      </c>
      <c r="H44" s="139">
        <f>SUM(H41:H43)</f>
        <v>0</v>
      </c>
      <c r="I44" s="139">
        <f>SUM(I41:I43)</f>
        <v>0</v>
      </c>
      <c r="J44" s="140">
        <f>SUM(J41:J43)</f>
        <v>0</v>
      </c>
    </row>
    <row r="45" spans="1:10" x14ac:dyDescent="0.25">
      <c r="B45" s="65" t="s">
        <v>115</v>
      </c>
      <c r="C45" s="159"/>
      <c r="E45" s="37" t="s">
        <v>93</v>
      </c>
      <c r="F45" s="116">
        <f>F26</f>
        <v>0</v>
      </c>
      <c r="G45" s="131">
        <f>F26*(1-G34)</f>
        <v>0</v>
      </c>
      <c r="H45" s="131">
        <f>F26*(1-H34)</f>
        <v>0</v>
      </c>
      <c r="I45" s="77">
        <f>F26*(1-I34)</f>
        <v>0</v>
      </c>
      <c r="J45" s="39">
        <f>F26*(1-J34)</f>
        <v>0</v>
      </c>
    </row>
    <row r="46" spans="1:10" x14ac:dyDescent="0.25">
      <c r="B46" s="65" t="s">
        <v>116</v>
      </c>
      <c r="C46" s="67"/>
      <c r="E46" s="47" t="s">
        <v>94</v>
      </c>
      <c r="F46" s="122" t="s">
        <v>95</v>
      </c>
      <c r="G46" s="132">
        <f>F45-G45</f>
        <v>0</v>
      </c>
      <c r="H46" s="132">
        <f>F45-H45</f>
        <v>0</v>
      </c>
      <c r="I46" s="82">
        <f>F45-I45</f>
        <v>0</v>
      </c>
      <c r="J46" s="51">
        <f>F45-J45</f>
        <v>0</v>
      </c>
    </row>
    <row r="47" spans="1:10" x14ac:dyDescent="0.25">
      <c r="B47" s="65" t="s">
        <v>117</v>
      </c>
      <c r="C47" s="67"/>
      <c r="E47" s="47" t="s">
        <v>96</v>
      </c>
      <c r="F47" s="122" t="s">
        <v>95</v>
      </c>
      <c r="G47" s="133">
        <f>IFERROR((F45-G45)/F45,0)</f>
        <v>0</v>
      </c>
      <c r="H47" s="133">
        <f>IFERROR((F45-H45)/F45,0)</f>
        <v>0</v>
      </c>
      <c r="I47" s="83">
        <f>IFERROR((F45-I45)/F45,0)</f>
        <v>0</v>
      </c>
      <c r="J47" s="53">
        <f>IFERROR((F45-J45)/F45,0)</f>
        <v>0</v>
      </c>
    </row>
    <row r="48" spans="1:10" x14ac:dyDescent="0.25">
      <c r="B48" s="65" t="s">
        <v>118</v>
      </c>
      <c r="C48" s="68"/>
      <c r="E48" s="55" t="s">
        <v>128</v>
      </c>
      <c r="F48" s="123">
        <f>SUM(N75:N198)</f>
        <v>0</v>
      </c>
      <c r="G48" s="134">
        <f>SUM(T75:T198)</f>
        <v>0</v>
      </c>
      <c r="H48" s="134">
        <f>SUM(U75:U198)</f>
        <v>0</v>
      </c>
      <c r="I48" s="56">
        <f>SUM(V75:V198)</f>
        <v>0</v>
      </c>
      <c r="J48" s="57">
        <f>SUM(AA75:AA198)</f>
        <v>0</v>
      </c>
    </row>
    <row r="49" spans="1:10" ht="47.25" x14ac:dyDescent="0.25">
      <c r="B49" s="177" t="s">
        <v>131</v>
      </c>
      <c r="C49" s="70" t="s">
        <v>133</v>
      </c>
      <c r="E49" s="58" t="s">
        <v>130</v>
      </c>
      <c r="F49" s="124">
        <f>F29*(1-F34)</f>
        <v>0</v>
      </c>
      <c r="G49" s="59">
        <f>F29*(1-G34)</f>
        <v>0</v>
      </c>
      <c r="H49" s="59">
        <f>F29*(1-H34)</f>
        <v>0</v>
      </c>
      <c r="I49" s="59">
        <f>F29*(1-I34)</f>
        <v>0</v>
      </c>
      <c r="J49" s="59">
        <f>F29*(1-J34)</f>
        <v>0</v>
      </c>
    </row>
    <row r="53" spans="1:10" x14ac:dyDescent="0.25">
      <c r="A53" s="24">
        <v>16</v>
      </c>
      <c r="B53" s="28" t="s">
        <v>111</v>
      </c>
      <c r="C53" s="28"/>
      <c r="D53" s="28"/>
    </row>
    <row r="54" spans="1:10" ht="31.5" x14ac:dyDescent="0.25">
      <c r="B54" s="28" t="s">
        <v>1</v>
      </c>
      <c r="C54" s="28" t="s">
        <v>2</v>
      </c>
      <c r="D54" s="28" t="s">
        <v>3</v>
      </c>
    </row>
    <row r="55" spans="1:10" x14ac:dyDescent="0.25">
      <c r="B55" s="71" t="s">
        <v>5</v>
      </c>
      <c r="C55" s="52"/>
      <c r="D55" s="72"/>
    </row>
    <row r="56" spans="1:10" x14ac:dyDescent="0.25">
      <c r="B56" s="71" t="s">
        <v>7</v>
      </c>
      <c r="C56" s="52"/>
      <c r="D56" s="72"/>
    </row>
    <row r="57" spans="1:10" x14ac:dyDescent="0.25">
      <c r="B57" s="71" t="s">
        <v>8</v>
      </c>
      <c r="C57" s="52"/>
      <c r="D57" s="72"/>
    </row>
    <row r="58" spans="1:10" x14ac:dyDescent="0.25">
      <c r="B58" s="71" t="s">
        <v>10</v>
      </c>
      <c r="C58" s="52"/>
      <c r="D58" s="72"/>
    </row>
    <row r="59" spans="1:10" x14ac:dyDescent="0.25">
      <c r="B59" s="71" t="s">
        <v>12</v>
      </c>
      <c r="C59" s="52"/>
      <c r="D59" s="155"/>
    </row>
    <row r="60" spans="1:10" x14ac:dyDescent="0.25">
      <c r="B60" s="71" t="s">
        <v>13</v>
      </c>
      <c r="C60" s="52"/>
      <c r="D60" s="72"/>
    </row>
    <row r="61" spans="1:10" x14ac:dyDescent="0.25">
      <c r="B61" s="71" t="s">
        <v>14</v>
      </c>
      <c r="C61" s="52"/>
      <c r="D61" s="72"/>
    </row>
    <row r="62" spans="1:10" x14ac:dyDescent="0.25">
      <c r="B62" s="71" t="s">
        <v>16</v>
      </c>
      <c r="C62" s="52"/>
      <c r="D62" s="72"/>
    </row>
    <row r="63" spans="1:10" x14ac:dyDescent="0.25">
      <c r="B63" s="71" t="s">
        <v>18</v>
      </c>
      <c r="C63" s="52"/>
      <c r="D63" s="72"/>
    </row>
    <row r="64" spans="1:10" x14ac:dyDescent="0.25">
      <c r="B64" s="71" t="s">
        <v>20</v>
      </c>
      <c r="C64" s="52"/>
      <c r="D64" s="72"/>
    </row>
    <row r="65" spans="1:27" x14ac:dyDescent="0.25">
      <c r="B65" s="71" t="s">
        <v>22</v>
      </c>
      <c r="C65" s="52"/>
      <c r="D65" s="72"/>
    </row>
    <row r="66" spans="1:27" x14ac:dyDescent="0.25">
      <c r="B66" s="71" t="s">
        <v>24</v>
      </c>
      <c r="C66" s="52"/>
      <c r="D66" s="72"/>
    </row>
    <row r="67" spans="1:27" x14ac:dyDescent="0.25">
      <c r="B67" s="71" t="s">
        <v>26</v>
      </c>
      <c r="C67" s="52"/>
      <c r="D67" s="71"/>
    </row>
    <row r="68" spans="1:27" x14ac:dyDescent="0.25">
      <c r="B68" s="73" t="s">
        <v>28</v>
      </c>
      <c r="C68" s="74">
        <f>SUM(C55:C67)</f>
        <v>0</v>
      </c>
      <c r="D68" s="75" t="s">
        <v>11</v>
      </c>
    </row>
    <row r="73" spans="1:27" x14ac:dyDescent="0.25">
      <c r="A73" s="152"/>
      <c r="B73" s="154" t="s">
        <v>98</v>
      </c>
      <c r="C73" s="152"/>
      <c r="D73" s="152"/>
      <c r="E73" s="152"/>
      <c r="F73" s="152"/>
      <c r="G73" s="152"/>
      <c r="H73" s="152"/>
      <c r="I73" s="152"/>
      <c r="J73" s="152"/>
      <c r="K73" s="153"/>
      <c r="L73" s="153"/>
      <c r="M73" s="153"/>
      <c r="N73" s="153"/>
      <c r="O73" s="153"/>
      <c r="P73" s="153"/>
      <c r="Q73" s="153"/>
      <c r="R73" s="153"/>
      <c r="S73" s="153"/>
      <c r="T73" s="189" t="s">
        <v>124</v>
      </c>
      <c r="U73" s="189"/>
      <c r="V73" s="189"/>
      <c r="W73" s="190"/>
      <c r="X73" s="190"/>
      <c r="Y73" s="190"/>
      <c r="Z73" s="190"/>
      <c r="AA73" s="190"/>
    </row>
    <row r="74" spans="1:27" ht="63.75" thickBot="1" x14ac:dyDescent="0.3">
      <c r="A74" s="87" t="s">
        <v>32</v>
      </c>
      <c r="B74" s="88" t="s">
        <v>33</v>
      </c>
      <c r="C74" s="88" t="s">
        <v>34</v>
      </c>
      <c r="D74" s="88" t="s">
        <v>35</v>
      </c>
      <c r="E74" s="88" t="s">
        <v>36</v>
      </c>
      <c r="F74" s="88" t="s">
        <v>37</v>
      </c>
      <c r="G74" s="88" t="s">
        <v>97</v>
      </c>
      <c r="H74" s="88" t="s">
        <v>38</v>
      </c>
      <c r="I74" s="88" t="s">
        <v>39</v>
      </c>
      <c r="J74" s="88" t="s">
        <v>40</v>
      </c>
      <c r="K74" s="88" t="s">
        <v>41</v>
      </c>
      <c r="L74" s="88" t="s">
        <v>42</v>
      </c>
      <c r="M74" s="88" t="s">
        <v>43</v>
      </c>
      <c r="N74" s="88" t="s">
        <v>44</v>
      </c>
      <c r="O74" s="88" t="s">
        <v>45</v>
      </c>
      <c r="P74" s="88" t="s">
        <v>46</v>
      </c>
      <c r="Q74" s="88" t="s">
        <v>47</v>
      </c>
      <c r="R74" s="88" t="s">
        <v>48</v>
      </c>
      <c r="S74" s="89" t="s">
        <v>49</v>
      </c>
      <c r="T74" s="149" t="s">
        <v>121</v>
      </c>
      <c r="U74" s="149" t="s">
        <v>122</v>
      </c>
      <c r="V74" s="149" t="s">
        <v>123</v>
      </c>
      <c r="W74" s="184" t="s">
        <v>144</v>
      </c>
      <c r="X74" s="185" t="s">
        <v>145</v>
      </c>
      <c r="Y74" s="185" t="s">
        <v>146</v>
      </c>
      <c r="Z74" s="185" t="s">
        <v>147</v>
      </c>
      <c r="AA74" s="186" t="s">
        <v>148</v>
      </c>
    </row>
    <row r="75" spans="1:27" x14ac:dyDescent="0.25">
      <c r="A75" s="98">
        <f>$C$8</f>
        <v>0</v>
      </c>
      <c r="B75" s="99">
        <f>EDATE($C$8,1)-1</f>
        <v>30</v>
      </c>
      <c r="C75" s="92">
        <f>ROW()-ROW($C$74)</f>
        <v>1</v>
      </c>
      <c r="D75" s="100">
        <f t="shared" ref="D75:D138" si="0">INT((C75-1)/12)+1</f>
        <v>1</v>
      </c>
      <c r="E75" s="101">
        <f t="shared" ref="E75:E138" si="1">IF(C75&gt;$C$10,0,$C$21*(1+$C$29)^(D75-1))</f>
        <v>0</v>
      </c>
      <c r="F75" s="94">
        <f>IF(C75&gt;$C$10,0,IF(AND($C$38&gt;0,A75&gt;=$C$38,EOMONTH(A75,0)&lt;=$C$39),E75*(1-$C$40),E75))</f>
        <v>0</v>
      </c>
      <c r="G75" s="95">
        <f>IF(C75&gt;$C$10,0,IF(AND($C$38&gt;0,A75&gt;=$C$38,EOMONTH(A75,0)&lt;=$C$39),-E75*$C$40,0))</f>
        <v>0</v>
      </c>
      <c r="H75" s="94">
        <f t="shared" ref="H75:H138" si="2">IF(C75&gt;$C$10,0,$C$24*(1+$C$30)^(D75-1))</f>
        <v>0</v>
      </c>
      <c r="I75" s="94">
        <f t="shared" ref="I75:I138" si="3">IF(C75&gt;$C$10,0,$C$22*(1+$C$31)^(D75-1))</f>
        <v>0</v>
      </c>
      <c r="J75" s="94">
        <f t="shared" ref="J75:J138" si="4">IF(C75&gt;$C$10,0,$C$23*(1+$C$32)^(D75-1))</f>
        <v>0</v>
      </c>
      <c r="K75" s="94">
        <f t="shared" ref="K75:K138" si="5">IF(C75&gt;$C$10,0,$C$25*(1+$C$33)^(D75-1))</f>
        <v>0</v>
      </c>
      <c r="L75" s="94">
        <f t="shared" ref="L75:L138" si="6">IF(C75&gt;$C$10,0,$C$26*(1+$C$34)^(D75-1))</f>
        <v>0</v>
      </c>
      <c r="M75" s="94">
        <f t="shared" ref="M75:M138" si="7">H75+I75+J75+K75+L75</f>
        <v>0</v>
      </c>
      <c r="N75" s="101">
        <f t="shared" ref="N75:N138" si="8">F75+M75</f>
        <v>0</v>
      </c>
      <c r="O75" s="102">
        <f t="shared" ref="O75:O138" si="9">IF($C$7=0,0,N75/$C$7)</f>
        <v>0</v>
      </c>
      <c r="P75" s="101">
        <f>MAX(SUM(N75:N198)+S75,0)</f>
        <v>0</v>
      </c>
      <c r="Q75" s="101">
        <f>SUM(F75:F198)</f>
        <v>0</v>
      </c>
      <c r="R75" s="101">
        <f>SUM(M75:M198)</f>
        <v>0</v>
      </c>
      <c r="S75" s="103">
        <f>SUMPRODUCT(($C$55:$C$67)*($D$55:$D$67&gt;=$A75))</f>
        <v>0</v>
      </c>
      <c r="T75" s="150">
        <f>IF(C75&gt;$C$10,0,IF(AND($C$38&gt;0,A75&gt;=$C$38,EOMONTH(A75,0)&lt;=$C$39),E75*(1-$C$40)*(1-G$15),E75*(1-G$15)))+M75</f>
        <v>0</v>
      </c>
      <c r="U75" s="150">
        <f>IF(C75&gt;$C$10,0,IF(AND($C$38&gt;0,A75&gt;=$C$38,EOMONTH(A75,0)&lt;=$C$39),E75*(1-$C$40)*(1-H$15),E75*(1-H$15)))+M75</f>
        <v>0</v>
      </c>
      <c r="V75" s="150">
        <f>IF(C75&gt;$C$10,0,IF(AND($C$38&gt;0,A75&gt;=$C$38,EOMONTH(A75,0)&lt;=$C$39),E75*(1-$C$40)*(1-I$15),E75*(1-I$15)))+M75</f>
        <v>0</v>
      </c>
      <c r="W75" s="181">
        <f>IF(C75&gt;$C$10,0,IF(AND($C$38&gt;0,A75&gt;=$C$38,EOMONTH(A75,0)&lt;=$C$39),E75*(1-$C$40)*(1-F$34),E75*(1-F$34)))+M75</f>
        <v>0</v>
      </c>
      <c r="X75" s="179">
        <f>IF(C75&gt;$C$10,0,IF(AND($C$38&gt;0,A75&gt;=$C$38,EOMONTH(A75,0)&lt;=$C$39),E75*(1-$C$40)*(1-G$34),E75*(1-G$34)))+M75</f>
        <v>0</v>
      </c>
      <c r="Y75" s="178">
        <f>IF(C75&gt;$C$10,0,IF(AND($C$38&gt;0,A75&gt;=$C$38,EOMONTH(A75,0)&lt;=$C$39),E75*(1-$C$40)*(1-H$34),E75*(1-H$34)))+M75</f>
        <v>0</v>
      </c>
      <c r="Z75" s="179">
        <f>IF(C75&gt;$C$10,0,IF(AND($C$38&gt;0,A75&gt;=$C$38,EOMONTH(A75,0)&lt;=$C$39),E75*(1-$C$40)*(1-I$34),E75*(1-I$34)))+M75</f>
        <v>0</v>
      </c>
      <c r="AA75" s="180">
        <f>IF(C75&gt;$C$10,0,IF(AND($C$38&gt;0,A75&gt;=$C$38,EOMONTH(A75,0)&lt;=$C$39),E75*(1-$C$40)*(1-J$34),E75*(1-J$34)))+M75</f>
        <v>0</v>
      </c>
    </row>
    <row r="76" spans="1:27" x14ac:dyDescent="0.25">
      <c r="A76" s="104">
        <f>EDATE($C$8,1)</f>
        <v>31</v>
      </c>
      <c r="B76" s="105">
        <f>EDATE($C$8,2)-1</f>
        <v>59</v>
      </c>
      <c r="C76" s="92">
        <f t="shared" ref="C76:C139" si="10">ROW()-ROW($C$74)</f>
        <v>2</v>
      </c>
      <c r="D76" s="106">
        <f t="shared" si="0"/>
        <v>1</v>
      </c>
      <c r="E76" s="107">
        <f t="shared" si="1"/>
        <v>0</v>
      </c>
      <c r="F76" s="94">
        <f t="shared" ref="F76:F139" si="11">IF(C76&gt;$C$10,0,IF(AND($C$38&gt;0,A76&gt;=$C$38,EOMONTH(A76,0)&lt;=$C$39),E76*(1-$C$40),E76))</f>
        <v>0</v>
      </c>
      <c r="G76" s="95">
        <f t="shared" ref="G76:G139" si="12">IF(C76&gt;$C$10,0,IF(AND($C$38&gt;0,A76&gt;=$C$38,EOMONTH(A76,0)&lt;=$C$39),-E76*$C$40,0))</f>
        <v>0</v>
      </c>
      <c r="H76" s="94">
        <f t="shared" si="2"/>
        <v>0</v>
      </c>
      <c r="I76" s="94">
        <f t="shared" si="3"/>
        <v>0</v>
      </c>
      <c r="J76" s="94">
        <f t="shared" si="4"/>
        <v>0</v>
      </c>
      <c r="K76" s="94">
        <f t="shared" si="5"/>
        <v>0</v>
      </c>
      <c r="L76" s="94">
        <f t="shared" si="6"/>
        <v>0</v>
      </c>
      <c r="M76" s="94">
        <f t="shared" si="7"/>
        <v>0</v>
      </c>
      <c r="N76" s="107">
        <f t="shared" si="8"/>
        <v>0</v>
      </c>
      <c r="O76" s="108">
        <f t="shared" si="9"/>
        <v>0</v>
      </c>
      <c r="P76" s="107">
        <f>MAX(SUM(N76:N198)+S76,0)</f>
        <v>0</v>
      </c>
      <c r="Q76" s="107">
        <f>SUM(F76:F198)</f>
        <v>0</v>
      </c>
      <c r="R76" s="107">
        <f>SUM(M76:M198)</f>
        <v>0</v>
      </c>
      <c r="S76" s="109">
        <f>SUMPRODUCT(($C$55:$C$67)*($D$55:$D$67&gt;=$A76))</f>
        <v>0</v>
      </c>
      <c r="T76" s="150">
        <f>IF(C76&gt;$C$10,0,IF(AND($C$38&gt;0,A76&gt;=$C$38,EOMONTH(A76,0)&lt;=$C$39),E76*(1-$C$40)*(1-G$15),E76*(1-G$15)))+M76</f>
        <v>0</v>
      </c>
      <c r="U76" s="150">
        <f>IF(C76&gt;$C$10,0,IF(AND($C$38&gt;0,A76&gt;=$C$38,EOMONTH(A76,0)&lt;=$C$39),E76*(1-$C$40)*(1-H$15),E76*(1-H$15)))+M76</f>
        <v>0</v>
      </c>
      <c r="V76" s="150">
        <f>IF(C76&gt;$C$10,0,IF(AND($C$38&gt;0,A76&gt;=$C$38,EOMONTH(A76,0)&lt;=$C$39),E76*(1-$C$40)*(1-I$15),E76*(1-I$15)))+M76</f>
        <v>0</v>
      </c>
      <c r="W76" s="181">
        <f>IF(C76&gt;$C$10,0,IF(AND($C$38&gt;0,A76&gt;=$C$38,EOMONTH(A76,0)&lt;=$C$39),E76*(1-$C$40)*(1-F$34),E76*(1-F$34)))+M76</f>
        <v>0</v>
      </c>
      <c r="X76" s="179">
        <f>IF(C76&gt;$C$10,0,IF(AND($C$38&gt;0,A76&gt;=$C$38,EOMONTH(A76,0)&lt;=$C$39),E76*(1-$C$40)*(1-G$34),E76*(1-G$34)))+M76</f>
        <v>0</v>
      </c>
      <c r="Y76" s="178">
        <f>IF(C76&gt;$C$10,0,IF(AND($C$38&gt;0,A76&gt;=$C$38,EOMONTH(A76,0)&lt;=$C$39),E76*(1-$C$40)*(1-H$34),E76*(1-H$34)))+M76</f>
        <v>0</v>
      </c>
      <c r="Z76" s="179">
        <f>IF(C76&gt;$C$10,0,IF(AND($C$38&gt;0,A76&gt;=$C$38,EOMONTH(A76,0)&lt;=$C$39),E76*(1-$C$40)*(1-I$34),E76*(1-I$34)))+M76</f>
        <v>0</v>
      </c>
      <c r="AA76" s="180">
        <f>IF(C76&gt;$C$10,0,IF(AND($C$38&gt;0,A76&gt;=$C$38,EOMONTH(A76,0)&lt;=$C$39),E76*(1-$C$40)*(1-J$34),E76*(1-J$34)))+M76</f>
        <v>0</v>
      </c>
    </row>
    <row r="77" spans="1:27" x14ac:dyDescent="0.25">
      <c r="A77" s="98">
        <f>EDATE($C$8,2)</f>
        <v>60</v>
      </c>
      <c r="B77" s="99">
        <f>EDATE($C$8,3)-1</f>
        <v>90</v>
      </c>
      <c r="C77" s="92">
        <f t="shared" si="10"/>
        <v>3</v>
      </c>
      <c r="D77" s="100">
        <f t="shared" si="0"/>
        <v>1</v>
      </c>
      <c r="E77" s="101">
        <f t="shared" si="1"/>
        <v>0</v>
      </c>
      <c r="F77" s="94">
        <f t="shared" si="11"/>
        <v>0</v>
      </c>
      <c r="G77" s="95">
        <f t="shared" si="12"/>
        <v>0</v>
      </c>
      <c r="H77" s="94">
        <f t="shared" si="2"/>
        <v>0</v>
      </c>
      <c r="I77" s="94">
        <f t="shared" si="3"/>
        <v>0</v>
      </c>
      <c r="J77" s="94">
        <f t="shared" si="4"/>
        <v>0</v>
      </c>
      <c r="K77" s="94">
        <f t="shared" si="5"/>
        <v>0</v>
      </c>
      <c r="L77" s="94">
        <f t="shared" si="6"/>
        <v>0</v>
      </c>
      <c r="M77" s="94">
        <f t="shared" si="7"/>
        <v>0</v>
      </c>
      <c r="N77" s="101">
        <f t="shared" si="8"/>
        <v>0</v>
      </c>
      <c r="O77" s="102">
        <f t="shared" si="9"/>
        <v>0</v>
      </c>
      <c r="P77" s="101">
        <f>MAX(SUM(N77:N198)+S77,0)</f>
        <v>0</v>
      </c>
      <c r="Q77" s="101">
        <f>SUM(F77:F198)</f>
        <v>0</v>
      </c>
      <c r="R77" s="101">
        <f>SUM(M77:M198)</f>
        <v>0</v>
      </c>
      <c r="S77" s="103">
        <f>SUMPRODUCT(($C$55:$C$67)*($D$55:$D$67&gt;=$A77))</f>
        <v>0</v>
      </c>
      <c r="T77" s="150">
        <f>IF(C77&gt;$C$10,0,IF(AND($C$38&gt;0,A77&gt;=$C$38,EOMONTH(A77,0)&lt;=$C$39),E77*(1-$C$40)*(1-G$15),E77*(1-G$15)))+M77</f>
        <v>0</v>
      </c>
      <c r="U77" s="150">
        <f>IF(C77&gt;$C$10,0,IF(AND($C$38&gt;0,A77&gt;=$C$38,EOMONTH(A77,0)&lt;=$C$39),E77*(1-$C$40)*(1-H$15),E77*(1-H$15)))+M77</f>
        <v>0</v>
      </c>
      <c r="V77" s="150">
        <f>IF(C77&gt;$C$10,0,IF(AND($C$38&gt;0,A77&gt;=$C$38,EOMONTH(A77,0)&lt;=$C$39),E77*(1-$C$40)*(1-I$15),E77*(1-I$15)))+M77</f>
        <v>0</v>
      </c>
      <c r="W77" s="181">
        <f>IF(C77&gt;$C$10,0,IF(AND($C$38&gt;0,A77&gt;=$C$38,EOMONTH(A77,0)&lt;=$C$39),E77*(1-$C$40)*(1-F$34),E77*(1-F$34)))+M77</f>
        <v>0</v>
      </c>
      <c r="X77" s="179">
        <f>IF(C77&gt;$C$10,0,IF(AND($C$38&gt;0,A77&gt;=$C$38,EOMONTH(A77,0)&lt;=$C$39),E77*(1-$C$40)*(1-G$34),E77*(1-G$34)))+M77</f>
        <v>0</v>
      </c>
      <c r="Y77" s="178">
        <f>IF(C77&gt;$C$10,0,IF(AND($C$38&gt;0,A77&gt;=$C$38,EOMONTH(A77,0)&lt;=$C$39),E77*(1-$C$40)*(1-H$34),E77*(1-H$34)))+M77</f>
        <v>0</v>
      </c>
      <c r="Z77" s="179">
        <f>IF(C77&gt;$C$10,0,IF(AND($C$38&gt;0,A77&gt;=$C$38,EOMONTH(A77,0)&lt;=$C$39),E77*(1-$C$40)*(1-I$34),E77*(1-I$34)))+M77</f>
        <v>0</v>
      </c>
      <c r="AA77" s="180">
        <f>IF(C77&gt;$C$10,0,IF(AND($C$38&gt;0,A77&gt;=$C$38,EOMONTH(A77,0)&lt;=$C$39),E77*(1-$C$40)*(1-J$34),E77*(1-J$34)))+M77</f>
        <v>0</v>
      </c>
    </row>
    <row r="78" spans="1:27" x14ac:dyDescent="0.25">
      <c r="A78" s="104">
        <f>EDATE($C$8,3)</f>
        <v>91</v>
      </c>
      <c r="B78" s="105">
        <f>EDATE($C$8,4)-1</f>
        <v>120</v>
      </c>
      <c r="C78" s="92">
        <f t="shared" si="10"/>
        <v>4</v>
      </c>
      <c r="D78" s="106">
        <f t="shared" si="0"/>
        <v>1</v>
      </c>
      <c r="E78" s="107">
        <f t="shared" si="1"/>
        <v>0</v>
      </c>
      <c r="F78" s="94">
        <f t="shared" si="11"/>
        <v>0</v>
      </c>
      <c r="G78" s="95">
        <f t="shared" si="12"/>
        <v>0</v>
      </c>
      <c r="H78" s="94">
        <f t="shared" si="2"/>
        <v>0</v>
      </c>
      <c r="I78" s="94">
        <f t="shared" si="3"/>
        <v>0</v>
      </c>
      <c r="J78" s="94">
        <f t="shared" si="4"/>
        <v>0</v>
      </c>
      <c r="K78" s="94">
        <f t="shared" si="5"/>
        <v>0</v>
      </c>
      <c r="L78" s="94">
        <f t="shared" si="6"/>
        <v>0</v>
      </c>
      <c r="M78" s="94">
        <f t="shared" si="7"/>
        <v>0</v>
      </c>
      <c r="N78" s="107">
        <f t="shared" si="8"/>
        <v>0</v>
      </c>
      <c r="O78" s="108">
        <f t="shared" si="9"/>
        <v>0</v>
      </c>
      <c r="P78" s="107">
        <f>MAX(SUM(N78:N198)+S78,0)</f>
        <v>0</v>
      </c>
      <c r="Q78" s="107">
        <f>SUM(F78:F198)</f>
        <v>0</v>
      </c>
      <c r="R78" s="107">
        <f>SUM(M78:M198)</f>
        <v>0</v>
      </c>
      <c r="S78" s="109">
        <f>SUMPRODUCT(($C$55:$C$67)*($D$55:$D$67&gt;=$A78))</f>
        <v>0</v>
      </c>
      <c r="T78" s="150">
        <f>IF(C78&gt;$C$10,0,IF(AND($C$38&gt;0,A78&gt;=$C$38,EOMONTH(A78,0)&lt;=$C$39),E78*(1-$C$40)*(1-G$15),E78*(1-G$15)))+M78</f>
        <v>0</v>
      </c>
      <c r="U78" s="150">
        <f>IF(C78&gt;$C$10,0,IF(AND($C$38&gt;0,A78&gt;=$C$38,EOMONTH(A78,0)&lt;=$C$39),E78*(1-$C$40)*(1-H$15),E78*(1-H$15)))+M78</f>
        <v>0</v>
      </c>
      <c r="V78" s="150">
        <f>IF(C78&gt;$C$10,0,IF(AND($C$38&gt;0,A78&gt;=$C$38,EOMONTH(A78,0)&lt;=$C$39),E78*(1-$C$40)*(1-I$15),E78*(1-I$15)))+M78</f>
        <v>0</v>
      </c>
      <c r="W78" s="181">
        <f>IF(C78&gt;$C$10,0,IF(AND($C$38&gt;0,A78&gt;=$C$38,EOMONTH(A78,0)&lt;=$C$39),E78*(1-$C$40)*(1-F$34),E78*(1-F$34)))+M78</f>
        <v>0</v>
      </c>
      <c r="X78" s="179">
        <f>IF(C78&gt;$C$10,0,IF(AND($C$38&gt;0,A78&gt;=$C$38,EOMONTH(A78,0)&lt;=$C$39),E78*(1-$C$40)*(1-G$34),E78*(1-G$34)))+M78</f>
        <v>0</v>
      </c>
      <c r="Y78" s="178">
        <f>IF(C78&gt;$C$10,0,IF(AND($C$38&gt;0,A78&gt;=$C$38,EOMONTH(A78,0)&lt;=$C$39),E78*(1-$C$40)*(1-H$34),E78*(1-H$34)))+M78</f>
        <v>0</v>
      </c>
      <c r="Z78" s="179">
        <f>IF(C78&gt;$C$10,0,IF(AND($C$38&gt;0,A78&gt;=$C$38,EOMONTH(A78,0)&lt;=$C$39),E78*(1-$C$40)*(1-I$34),E78*(1-I$34)))+M78</f>
        <v>0</v>
      </c>
      <c r="AA78" s="180">
        <f>IF(C78&gt;$C$10,0,IF(AND($C$38&gt;0,A78&gt;=$C$38,EOMONTH(A78,0)&lt;=$C$39),E78*(1-$C$40)*(1-J$34),E78*(1-J$34)))+M78</f>
        <v>0</v>
      </c>
    </row>
    <row r="79" spans="1:27" x14ac:dyDescent="0.25">
      <c r="A79" s="98">
        <f>EDATE($C$8,4)</f>
        <v>121</v>
      </c>
      <c r="B79" s="99">
        <f>EDATE($C$8,5)-1</f>
        <v>151</v>
      </c>
      <c r="C79" s="92">
        <f t="shared" si="10"/>
        <v>5</v>
      </c>
      <c r="D79" s="100">
        <f t="shared" si="0"/>
        <v>1</v>
      </c>
      <c r="E79" s="101">
        <f t="shared" si="1"/>
        <v>0</v>
      </c>
      <c r="F79" s="94">
        <f t="shared" si="11"/>
        <v>0</v>
      </c>
      <c r="G79" s="95">
        <f t="shared" si="12"/>
        <v>0</v>
      </c>
      <c r="H79" s="94">
        <f t="shared" si="2"/>
        <v>0</v>
      </c>
      <c r="I79" s="94">
        <f t="shared" si="3"/>
        <v>0</v>
      </c>
      <c r="J79" s="94">
        <f t="shared" si="4"/>
        <v>0</v>
      </c>
      <c r="K79" s="94">
        <f t="shared" si="5"/>
        <v>0</v>
      </c>
      <c r="L79" s="94">
        <f t="shared" si="6"/>
        <v>0</v>
      </c>
      <c r="M79" s="94">
        <f t="shared" si="7"/>
        <v>0</v>
      </c>
      <c r="N79" s="101">
        <f t="shared" si="8"/>
        <v>0</v>
      </c>
      <c r="O79" s="102">
        <f t="shared" si="9"/>
        <v>0</v>
      </c>
      <c r="P79" s="101">
        <f>MAX(SUM(N79:N198)+S79,0)</f>
        <v>0</v>
      </c>
      <c r="Q79" s="101">
        <f>SUM(F79:F198)</f>
        <v>0</v>
      </c>
      <c r="R79" s="101">
        <f>SUM(M79:M198)</f>
        <v>0</v>
      </c>
      <c r="S79" s="103">
        <f>SUMPRODUCT(($C$55:$C$67)*($D$55:$D$67&gt;=$A79))</f>
        <v>0</v>
      </c>
      <c r="T79" s="150">
        <f>IF(C79&gt;$C$10,0,IF(AND($C$38&gt;0,A79&gt;=$C$38,EOMONTH(A79,0)&lt;=$C$39),E79*(1-$C$40)*(1-G$15),E79*(1-G$15)))+M79</f>
        <v>0</v>
      </c>
      <c r="U79" s="150">
        <f>IF(C79&gt;$C$10,0,IF(AND($C$38&gt;0,A79&gt;=$C$38,EOMONTH(A79,0)&lt;=$C$39),E79*(1-$C$40)*(1-H$15),E79*(1-H$15)))+M79</f>
        <v>0</v>
      </c>
      <c r="V79" s="150">
        <f>IF(C79&gt;$C$10,0,IF(AND($C$38&gt;0,A79&gt;=$C$38,EOMONTH(A79,0)&lt;=$C$39),E79*(1-$C$40)*(1-I$15),E79*(1-I$15)))+M79</f>
        <v>0</v>
      </c>
      <c r="W79" s="181">
        <f>IF(C79&gt;$C$10,0,IF(AND($C$38&gt;0,A79&gt;=$C$38,EOMONTH(A79,0)&lt;=$C$39),E79*(1-$C$40)*(1-F$34),E79*(1-F$34)))+M79</f>
        <v>0</v>
      </c>
      <c r="X79" s="179">
        <f>IF(C79&gt;$C$10,0,IF(AND($C$38&gt;0,A79&gt;=$C$38,EOMONTH(A79,0)&lt;=$C$39),E79*(1-$C$40)*(1-G$34),E79*(1-G$34)))+M79</f>
        <v>0</v>
      </c>
      <c r="Y79" s="178">
        <f>IF(C79&gt;$C$10,0,IF(AND($C$38&gt;0,A79&gt;=$C$38,EOMONTH(A79,0)&lt;=$C$39),E79*(1-$C$40)*(1-H$34),E79*(1-H$34)))+M79</f>
        <v>0</v>
      </c>
      <c r="Z79" s="179">
        <f>IF(C79&gt;$C$10,0,IF(AND($C$38&gt;0,A79&gt;=$C$38,EOMONTH(A79,0)&lt;=$C$39),E79*(1-$C$40)*(1-I$34),E79*(1-I$34)))+M79</f>
        <v>0</v>
      </c>
      <c r="AA79" s="180">
        <f>IF(C79&gt;$C$10,0,IF(AND($C$38&gt;0,A79&gt;=$C$38,EOMONTH(A79,0)&lt;=$C$39),E79*(1-$C$40)*(1-J$34),E79*(1-J$34)))+M79</f>
        <v>0</v>
      </c>
    </row>
    <row r="80" spans="1:27" x14ac:dyDescent="0.25">
      <c r="A80" s="104">
        <f>EDATE($C$8,5)</f>
        <v>152</v>
      </c>
      <c r="B80" s="105">
        <f>EDATE($C$8,6)-1</f>
        <v>181</v>
      </c>
      <c r="C80" s="92">
        <f t="shared" si="10"/>
        <v>6</v>
      </c>
      <c r="D80" s="106">
        <f t="shared" si="0"/>
        <v>1</v>
      </c>
      <c r="E80" s="107">
        <f t="shared" si="1"/>
        <v>0</v>
      </c>
      <c r="F80" s="94">
        <f t="shared" si="11"/>
        <v>0</v>
      </c>
      <c r="G80" s="95">
        <f t="shared" si="12"/>
        <v>0</v>
      </c>
      <c r="H80" s="94">
        <f t="shared" si="2"/>
        <v>0</v>
      </c>
      <c r="I80" s="94">
        <f t="shared" si="3"/>
        <v>0</v>
      </c>
      <c r="J80" s="94">
        <f t="shared" si="4"/>
        <v>0</v>
      </c>
      <c r="K80" s="94">
        <f t="shared" si="5"/>
        <v>0</v>
      </c>
      <c r="L80" s="94">
        <f t="shared" si="6"/>
        <v>0</v>
      </c>
      <c r="M80" s="94">
        <f t="shared" si="7"/>
        <v>0</v>
      </c>
      <c r="N80" s="107">
        <f t="shared" si="8"/>
        <v>0</v>
      </c>
      <c r="O80" s="108">
        <f t="shared" si="9"/>
        <v>0</v>
      </c>
      <c r="P80" s="107">
        <f>MAX(SUM(N80:N198)+S80,0)</f>
        <v>0</v>
      </c>
      <c r="Q80" s="107">
        <f>SUM(F80:F198)</f>
        <v>0</v>
      </c>
      <c r="R80" s="107">
        <f>SUM(M80:M198)</f>
        <v>0</v>
      </c>
      <c r="S80" s="109">
        <f>SUMPRODUCT(($C$55:$C$67)*($D$55:$D$67&gt;=$A80))</f>
        <v>0</v>
      </c>
      <c r="T80" s="150">
        <f>IF(C80&gt;$C$10,0,IF(AND($C$38&gt;0,A80&gt;=$C$38,EOMONTH(A80,0)&lt;=$C$39),E80*(1-$C$40)*(1-G$15),E80*(1-G$15)))+M80</f>
        <v>0</v>
      </c>
      <c r="U80" s="150">
        <f>IF(C80&gt;$C$10,0,IF(AND($C$38&gt;0,A80&gt;=$C$38,EOMONTH(A80,0)&lt;=$C$39),E80*(1-$C$40)*(1-H$15),E80*(1-H$15)))+M80</f>
        <v>0</v>
      </c>
      <c r="V80" s="150">
        <f>IF(C80&gt;$C$10,0,IF(AND($C$38&gt;0,A80&gt;=$C$38,EOMONTH(A80,0)&lt;=$C$39),E80*(1-$C$40)*(1-I$15),E80*(1-I$15)))+M80</f>
        <v>0</v>
      </c>
      <c r="W80" s="181">
        <f>IF(C80&gt;$C$10,0,IF(AND($C$38&gt;0,A80&gt;=$C$38,EOMONTH(A80,0)&lt;=$C$39),E80*(1-$C$40)*(1-F$34),E80*(1-F$34)))+M80</f>
        <v>0</v>
      </c>
      <c r="X80" s="179">
        <f>IF(C80&gt;$C$10,0,IF(AND($C$38&gt;0,A80&gt;=$C$38,EOMONTH(A80,0)&lt;=$C$39),E80*(1-$C$40)*(1-G$34),E80*(1-G$34)))+M80</f>
        <v>0</v>
      </c>
      <c r="Y80" s="178">
        <f>IF(C80&gt;$C$10,0,IF(AND($C$38&gt;0,A80&gt;=$C$38,EOMONTH(A80,0)&lt;=$C$39),E80*(1-$C$40)*(1-H$34),E80*(1-H$34)))+M80</f>
        <v>0</v>
      </c>
      <c r="Z80" s="179">
        <f>IF(C80&gt;$C$10,0,IF(AND($C$38&gt;0,A80&gt;=$C$38,EOMONTH(A80,0)&lt;=$C$39),E80*(1-$C$40)*(1-I$34),E80*(1-I$34)))+M80</f>
        <v>0</v>
      </c>
      <c r="AA80" s="180">
        <f>IF(C80&gt;$C$10,0,IF(AND($C$38&gt;0,A80&gt;=$C$38,EOMONTH(A80,0)&lt;=$C$39),E80*(1-$C$40)*(1-J$34),E80*(1-J$34)))+M80</f>
        <v>0</v>
      </c>
    </row>
    <row r="81" spans="1:27" x14ac:dyDescent="0.25">
      <c r="A81" s="98">
        <f>EDATE($C$8,6)</f>
        <v>182</v>
      </c>
      <c r="B81" s="99">
        <f>EDATE($C$8,7)-1</f>
        <v>212</v>
      </c>
      <c r="C81" s="92">
        <f t="shared" si="10"/>
        <v>7</v>
      </c>
      <c r="D81" s="100">
        <f t="shared" si="0"/>
        <v>1</v>
      </c>
      <c r="E81" s="101">
        <f t="shared" si="1"/>
        <v>0</v>
      </c>
      <c r="F81" s="94">
        <f t="shared" si="11"/>
        <v>0</v>
      </c>
      <c r="G81" s="95">
        <f t="shared" si="12"/>
        <v>0</v>
      </c>
      <c r="H81" s="94">
        <f t="shared" si="2"/>
        <v>0</v>
      </c>
      <c r="I81" s="94">
        <f t="shared" si="3"/>
        <v>0</v>
      </c>
      <c r="J81" s="94">
        <f t="shared" si="4"/>
        <v>0</v>
      </c>
      <c r="K81" s="94">
        <f t="shared" si="5"/>
        <v>0</v>
      </c>
      <c r="L81" s="94">
        <f t="shared" si="6"/>
        <v>0</v>
      </c>
      <c r="M81" s="94">
        <f t="shared" si="7"/>
        <v>0</v>
      </c>
      <c r="N81" s="101">
        <f t="shared" si="8"/>
        <v>0</v>
      </c>
      <c r="O81" s="102">
        <f t="shared" si="9"/>
        <v>0</v>
      </c>
      <c r="P81" s="101">
        <f>MAX(SUM(N81:N198)+S81,0)</f>
        <v>0</v>
      </c>
      <c r="Q81" s="101">
        <f>SUM(F81:F198)</f>
        <v>0</v>
      </c>
      <c r="R81" s="101">
        <f>SUM(M81:M198)</f>
        <v>0</v>
      </c>
      <c r="S81" s="103">
        <f>SUMPRODUCT(($C$55:$C$67)*($D$55:$D$67&gt;=$A81))</f>
        <v>0</v>
      </c>
      <c r="T81" s="150">
        <f>IF(C81&gt;$C$10,0,IF(AND($C$38&gt;0,A81&gt;=$C$38,EOMONTH(A81,0)&lt;=$C$39),E81*(1-$C$40)*(1-G$15),E81*(1-G$15)))+M81</f>
        <v>0</v>
      </c>
      <c r="U81" s="150">
        <f>IF(C81&gt;$C$10,0,IF(AND($C$38&gt;0,A81&gt;=$C$38,EOMONTH(A81,0)&lt;=$C$39),E81*(1-$C$40)*(1-H$15),E81*(1-H$15)))+M81</f>
        <v>0</v>
      </c>
      <c r="V81" s="150">
        <f>IF(C81&gt;$C$10,0,IF(AND($C$38&gt;0,A81&gt;=$C$38,EOMONTH(A81,0)&lt;=$C$39),E81*(1-$C$40)*(1-I$15),E81*(1-I$15)))+M81</f>
        <v>0</v>
      </c>
      <c r="W81" s="181">
        <f>IF(C81&gt;$C$10,0,IF(AND($C$38&gt;0,A81&gt;=$C$38,EOMONTH(A81,0)&lt;=$C$39),E81*(1-$C$40)*(1-F$34),E81*(1-F$34)))+M81</f>
        <v>0</v>
      </c>
      <c r="X81" s="179">
        <f>IF(C81&gt;$C$10,0,IF(AND($C$38&gt;0,A81&gt;=$C$38,EOMONTH(A81,0)&lt;=$C$39),E81*(1-$C$40)*(1-G$34),E81*(1-G$34)))+M81</f>
        <v>0</v>
      </c>
      <c r="Y81" s="178">
        <f>IF(C81&gt;$C$10,0,IF(AND($C$38&gt;0,A81&gt;=$C$38,EOMONTH(A81,0)&lt;=$C$39),E81*(1-$C$40)*(1-H$34),E81*(1-H$34)))+M81</f>
        <v>0</v>
      </c>
      <c r="Z81" s="179">
        <f>IF(C81&gt;$C$10,0,IF(AND($C$38&gt;0,A81&gt;=$C$38,EOMONTH(A81,0)&lt;=$C$39),E81*(1-$C$40)*(1-I$34),E81*(1-I$34)))+M81</f>
        <v>0</v>
      </c>
      <c r="AA81" s="180">
        <f>IF(C81&gt;$C$10,0,IF(AND($C$38&gt;0,A81&gt;=$C$38,EOMONTH(A81,0)&lt;=$C$39),E81*(1-$C$40)*(1-J$34),E81*(1-J$34)))+M81</f>
        <v>0</v>
      </c>
    </row>
    <row r="82" spans="1:27" x14ac:dyDescent="0.25">
      <c r="A82" s="104">
        <f>EDATE($C$8,7)</f>
        <v>213</v>
      </c>
      <c r="B82" s="105">
        <f>EDATE($C$8,8)-1</f>
        <v>243</v>
      </c>
      <c r="C82" s="92">
        <f t="shared" si="10"/>
        <v>8</v>
      </c>
      <c r="D82" s="106">
        <f t="shared" si="0"/>
        <v>1</v>
      </c>
      <c r="E82" s="107">
        <f t="shared" si="1"/>
        <v>0</v>
      </c>
      <c r="F82" s="94">
        <f t="shared" si="11"/>
        <v>0</v>
      </c>
      <c r="G82" s="95">
        <f t="shared" si="12"/>
        <v>0</v>
      </c>
      <c r="H82" s="94">
        <f t="shared" si="2"/>
        <v>0</v>
      </c>
      <c r="I82" s="94">
        <f t="shared" si="3"/>
        <v>0</v>
      </c>
      <c r="J82" s="94">
        <f t="shared" si="4"/>
        <v>0</v>
      </c>
      <c r="K82" s="94">
        <f t="shared" si="5"/>
        <v>0</v>
      </c>
      <c r="L82" s="94">
        <f t="shared" si="6"/>
        <v>0</v>
      </c>
      <c r="M82" s="94">
        <f t="shared" si="7"/>
        <v>0</v>
      </c>
      <c r="N82" s="107">
        <f t="shared" si="8"/>
        <v>0</v>
      </c>
      <c r="O82" s="108">
        <f t="shared" si="9"/>
        <v>0</v>
      </c>
      <c r="P82" s="107">
        <f>MAX(SUM(N82:N198)+S82,0)</f>
        <v>0</v>
      </c>
      <c r="Q82" s="107">
        <f>SUM(F82:F198)</f>
        <v>0</v>
      </c>
      <c r="R82" s="107">
        <f>SUM(M82:M198)</f>
        <v>0</v>
      </c>
      <c r="S82" s="109">
        <f>SUMPRODUCT(($C$55:$C$67)*($D$55:$D$67&gt;=$A82))</f>
        <v>0</v>
      </c>
      <c r="T82" s="150">
        <f>IF(C82&gt;$C$10,0,IF(AND($C$38&gt;0,A82&gt;=$C$38,EOMONTH(A82,0)&lt;=$C$39),E82*(1-$C$40)*(1-G$15),E82*(1-G$15)))+M82</f>
        <v>0</v>
      </c>
      <c r="U82" s="150">
        <f>IF(C82&gt;$C$10,0,IF(AND($C$38&gt;0,A82&gt;=$C$38,EOMONTH(A82,0)&lt;=$C$39),E82*(1-$C$40)*(1-H$15),E82*(1-H$15)))+M82</f>
        <v>0</v>
      </c>
      <c r="V82" s="150">
        <f>IF(C82&gt;$C$10,0,IF(AND($C$38&gt;0,A82&gt;=$C$38,EOMONTH(A82,0)&lt;=$C$39),E82*(1-$C$40)*(1-I$15),E82*(1-I$15)))+M82</f>
        <v>0</v>
      </c>
      <c r="W82" s="181">
        <f>IF(C82&gt;$C$10,0,IF(AND($C$38&gt;0,A82&gt;=$C$38,EOMONTH(A82,0)&lt;=$C$39),E82*(1-$C$40)*(1-F$34),E82*(1-F$34)))+M82</f>
        <v>0</v>
      </c>
      <c r="X82" s="179">
        <f>IF(C82&gt;$C$10,0,IF(AND($C$38&gt;0,A82&gt;=$C$38,EOMONTH(A82,0)&lt;=$C$39),E82*(1-$C$40)*(1-G$34),E82*(1-G$34)))+M82</f>
        <v>0</v>
      </c>
      <c r="Y82" s="178">
        <f>IF(C82&gt;$C$10,0,IF(AND($C$38&gt;0,A82&gt;=$C$38,EOMONTH(A82,0)&lt;=$C$39),E82*(1-$C$40)*(1-H$34),E82*(1-H$34)))+M82</f>
        <v>0</v>
      </c>
      <c r="Z82" s="179">
        <f>IF(C82&gt;$C$10,0,IF(AND($C$38&gt;0,A82&gt;=$C$38,EOMONTH(A82,0)&lt;=$C$39),E82*(1-$C$40)*(1-I$34),E82*(1-I$34)))+M82</f>
        <v>0</v>
      </c>
      <c r="AA82" s="180">
        <f>IF(C82&gt;$C$10,0,IF(AND($C$38&gt;0,A82&gt;=$C$38,EOMONTH(A82,0)&lt;=$C$39),E82*(1-$C$40)*(1-J$34),E82*(1-J$34)))+M82</f>
        <v>0</v>
      </c>
    </row>
    <row r="83" spans="1:27" x14ac:dyDescent="0.25">
      <c r="A83" s="98">
        <f>EDATE($C$8,8)</f>
        <v>244</v>
      </c>
      <c r="B83" s="99">
        <f>EDATE($C$8,9)-1</f>
        <v>273</v>
      </c>
      <c r="C83" s="92">
        <f t="shared" si="10"/>
        <v>9</v>
      </c>
      <c r="D83" s="100">
        <f t="shared" si="0"/>
        <v>1</v>
      </c>
      <c r="E83" s="101">
        <f t="shared" si="1"/>
        <v>0</v>
      </c>
      <c r="F83" s="94">
        <f t="shared" si="11"/>
        <v>0</v>
      </c>
      <c r="G83" s="95">
        <f t="shared" si="12"/>
        <v>0</v>
      </c>
      <c r="H83" s="94">
        <f t="shared" si="2"/>
        <v>0</v>
      </c>
      <c r="I83" s="94">
        <f t="shared" si="3"/>
        <v>0</v>
      </c>
      <c r="J83" s="94">
        <f t="shared" si="4"/>
        <v>0</v>
      </c>
      <c r="K83" s="94">
        <f t="shared" si="5"/>
        <v>0</v>
      </c>
      <c r="L83" s="94">
        <f t="shared" si="6"/>
        <v>0</v>
      </c>
      <c r="M83" s="94">
        <f t="shared" si="7"/>
        <v>0</v>
      </c>
      <c r="N83" s="101">
        <f t="shared" si="8"/>
        <v>0</v>
      </c>
      <c r="O83" s="102">
        <f t="shared" si="9"/>
        <v>0</v>
      </c>
      <c r="P83" s="101">
        <f>MAX(SUM(N83:N198)+S83,0)</f>
        <v>0</v>
      </c>
      <c r="Q83" s="101">
        <f>SUM(F83:F198)</f>
        <v>0</v>
      </c>
      <c r="R83" s="101">
        <f>SUM(M83:M198)</f>
        <v>0</v>
      </c>
      <c r="S83" s="103">
        <f>SUMPRODUCT(($C$55:$C$67)*($D$55:$D$67&gt;=$A83))</f>
        <v>0</v>
      </c>
      <c r="T83" s="150">
        <f>IF(C83&gt;$C$10,0,IF(AND($C$38&gt;0,A83&gt;=$C$38,EOMONTH(A83,0)&lt;=$C$39),E83*(1-$C$40)*(1-G$15),E83*(1-G$15)))+M83</f>
        <v>0</v>
      </c>
      <c r="U83" s="150">
        <f>IF(C83&gt;$C$10,0,IF(AND($C$38&gt;0,A83&gt;=$C$38,EOMONTH(A83,0)&lt;=$C$39),E83*(1-$C$40)*(1-H$15),E83*(1-H$15)))+M83</f>
        <v>0</v>
      </c>
      <c r="V83" s="150">
        <f>IF(C83&gt;$C$10,0,IF(AND($C$38&gt;0,A83&gt;=$C$38,EOMONTH(A83,0)&lt;=$C$39),E83*(1-$C$40)*(1-I$15),E83*(1-I$15)))+M83</f>
        <v>0</v>
      </c>
      <c r="W83" s="181">
        <f>IF(C83&gt;$C$10,0,IF(AND($C$38&gt;0,A83&gt;=$C$38,EOMONTH(A83,0)&lt;=$C$39),E83*(1-$C$40)*(1-F$34),E83*(1-F$34)))+M83</f>
        <v>0</v>
      </c>
      <c r="X83" s="179">
        <f>IF(C83&gt;$C$10,0,IF(AND($C$38&gt;0,A83&gt;=$C$38,EOMONTH(A83,0)&lt;=$C$39),E83*(1-$C$40)*(1-G$34),E83*(1-G$34)))+M83</f>
        <v>0</v>
      </c>
      <c r="Y83" s="178">
        <f>IF(C83&gt;$C$10,0,IF(AND($C$38&gt;0,A83&gt;=$C$38,EOMONTH(A83,0)&lt;=$C$39),E83*(1-$C$40)*(1-H$34),E83*(1-H$34)))+M83</f>
        <v>0</v>
      </c>
      <c r="Z83" s="179">
        <f>IF(C83&gt;$C$10,0,IF(AND($C$38&gt;0,A83&gt;=$C$38,EOMONTH(A83,0)&lt;=$C$39),E83*(1-$C$40)*(1-I$34),E83*(1-I$34)))+M83</f>
        <v>0</v>
      </c>
      <c r="AA83" s="180">
        <f>IF(C83&gt;$C$10,0,IF(AND($C$38&gt;0,A83&gt;=$C$38,EOMONTH(A83,0)&lt;=$C$39),E83*(1-$C$40)*(1-J$34),E83*(1-J$34)))+M83</f>
        <v>0</v>
      </c>
    </row>
    <row r="84" spans="1:27" x14ac:dyDescent="0.25">
      <c r="A84" s="104">
        <f>EDATE($C$8,9)</f>
        <v>274</v>
      </c>
      <c r="B84" s="105">
        <f>EDATE($C$8,10)-1</f>
        <v>304</v>
      </c>
      <c r="C84" s="92">
        <f t="shared" si="10"/>
        <v>10</v>
      </c>
      <c r="D84" s="106">
        <f t="shared" si="0"/>
        <v>1</v>
      </c>
      <c r="E84" s="107">
        <f t="shared" si="1"/>
        <v>0</v>
      </c>
      <c r="F84" s="94">
        <f t="shared" si="11"/>
        <v>0</v>
      </c>
      <c r="G84" s="95">
        <f t="shared" si="12"/>
        <v>0</v>
      </c>
      <c r="H84" s="94">
        <f t="shared" si="2"/>
        <v>0</v>
      </c>
      <c r="I84" s="94">
        <f t="shared" si="3"/>
        <v>0</v>
      </c>
      <c r="J84" s="94">
        <f t="shared" si="4"/>
        <v>0</v>
      </c>
      <c r="K84" s="94">
        <f t="shared" si="5"/>
        <v>0</v>
      </c>
      <c r="L84" s="94">
        <f t="shared" si="6"/>
        <v>0</v>
      </c>
      <c r="M84" s="94">
        <f t="shared" si="7"/>
        <v>0</v>
      </c>
      <c r="N84" s="107">
        <f t="shared" si="8"/>
        <v>0</v>
      </c>
      <c r="O84" s="108">
        <f t="shared" si="9"/>
        <v>0</v>
      </c>
      <c r="P84" s="107">
        <f>MAX(SUM(N84:N198)+S84,0)</f>
        <v>0</v>
      </c>
      <c r="Q84" s="107">
        <f>SUM(F84:F198)</f>
        <v>0</v>
      </c>
      <c r="R84" s="107">
        <f>SUM(M84:M198)</f>
        <v>0</v>
      </c>
      <c r="S84" s="109">
        <f>SUMPRODUCT(($C$55:$C$67)*($D$55:$D$67&gt;=$A84))</f>
        <v>0</v>
      </c>
      <c r="T84" s="150">
        <f>IF(C84&gt;$C$10,0,IF(AND($C$38&gt;0,A84&gt;=$C$38,EOMONTH(A84,0)&lt;=$C$39),E84*(1-$C$40)*(1-G$15),E84*(1-G$15)))+M84</f>
        <v>0</v>
      </c>
      <c r="U84" s="150">
        <f>IF(C84&gt;$C$10,0,IF(AND($C$38&gt;0,A84&gt;=$C$38,EOMONTH(A84,0)&lt;=$C$39),E84*(1-$C$40)*(1-H$15),E84*(1-H$15)))+M84</f>
        <v>0</v>
      </c>
      <c r="V84" s="150">
        <f>IF(C84&gt;$C$10,0,IF(AND($C$38&gt;0,A84&gt;=$C$38,EOMONTH(A84,0)&lt;=$C$39),E84*(1-$C$40)*(1-I$15),E84*(1-I$15)))+M84</f>
        <v>0</v>
      </c>
      <c r="W84" s="181">
        <f>IF(C84&gt;$C$10,0,IF(AND($C$38&gt;0,A84&gt;=$C$38,EOMONTH(A84,0)&lt;=$C$39),E84*(1-$C$40)*(1-F$34),E84*(1-F$34)))+M84</f>
        <v>0</v>
      </c>
      <c r="X84" s="179">
        <f>IF(C84&gt;$C$10,0,IF(AND($C$38&gt;0,A84&gt;=$C$38,EOMONTH(A84,0)&lt;=$C$39),E84*(1-$C$40)*(1-G$34),E84*(1-G$34)))+M84</f>
        <v>0</v>
      </c>
      <c r="Y84" s="178">
        <f>IF(C84&gt;$C$10,0,IF(AND($C$38&gt;0,A84&gt;=$C$38,EOMONTH(A84,0)&lt;=$C$39),E84*(1-$C$40)*(1-H$34),E84*(1-H$34)))+M84</f>
        <v>0</v>
      </c>
      <c r="Z84" s="179">
        <f>IF(C84&gt;$C$10,0,IF(AND($C$38&gt;0,A84&gt;=$C$38,EOMONTH(A84,0)&lt;=$C$39),E84*(1-$C$40)*(1-I$34),E84*(1-I$34)))+M84</f>
        <v>0</v>
      </c>
      <c r="AA84" s="180">
        <f>IF(C84&gt;$C$10,0,IF(AND($C$38&gt;0,A84&gt;=$C$38,EOMONTH(A84,0)&lt;=$C$39),E84*(1-$C$40)*(1-J$34),E84*(1-J$34)))+M84</f>
        <v>0</v>
      </c>
    </row>
    <row r="85" spans="1:27" x14ac:dyDescent="0.25">
      <c r="A85" s="98">
        <f>EDATE($C$8,10)</f>
        <v>305</v>
      </c>
      <c r="B85" s="99">
        <f>EDATE($C$8,11)-1</f>
        <v>334</v>
      </c>
      <c r="C85" s="92">
        <f t="shared" si="10"/>
        <v>11</v>
      </c>
      <c r="D85" s="100">
        <f t="shared" si="0"/>
        <v>1</v>
      </c>
      <c r="E85" s="101">
        <f t="shared" si="1"/>
        <v>0</v>
      </c>
      <c r="F85" s="94">
        <f t="shared" si="11"/>
        <v>0</v>
      </c>
      <c r="G85" s="95">
        <f t="shared" si="12"/>
        <v>0</v>
      </c>
      <c r="H85" s="94">
        <f t="shared" si="2"/>
        <v>0</v>
      </c>
      <c r="I85" s="94">
        <f t="shared" si="3"/>
        <v>0</v>
      </c>
      <c r="J85" s="94">
        <f t="shared" si="4"/>
        <v>0</v>
      </c>
      <c r="K85" s="94">
        <f t="shared" si="5"/>
        <v>0</v>
      </c>
      <c r="L85" s="94">
        <f t="shared" si="6"/>
        <v>0</v>
      </c>
      <c r="M85" s="94">
        <f t="shared" si="7"/>
        <v>0</v>
      </c>
      <c r="N85" s="101">
        <f t="shared" si="8"/>
        <v>0</v>
      </c>
      <c r="O85" s="102">
        <f t="shared" si="9"/>
        <v>0</v>
      </c>
      <c r="P85" s="101">
        <f>MAX(SUM(N85:N198)+S85,0)</f>
        <v>0</v>
      </c>
      <c r="Q85" s="101">
        <f>SUM(F85:F198)</f>
        <v>0</v>
      </c>
      <c r="R85" s="101">
        <f>SUM(M85:M198)</f>
        <v>0</v>
      </c>
      <c r="S85" s="103">
        <f>SUMPRODUCT(($C$55:$C$67)*($D$55:$D$67&gt;=$A85))</f>
        <v>0</v>
      </c>
      <c r="T85" s="150">
        <f>IF(C85&gt;$C$10,0,IF(AND($C$38&gt;0,A85&gt;=$C$38,EOMONTH(A85,0)&lt;=$C$39),E85*(1-$C$40)*(1-G$15),E85*(1-G$15)))+M85</f>
        <v>0</v>
      </c>
      <c r="U85" s="150">
        <f>IF(C85&gt;$C$10,0,IF(AND($C$38&gt;0,A85&gt;=$C$38,EOMONTH(A85,0)&lt;=$C$39),E85*(1-$C$40)*(1-H$15),E85*(1-H$15)))+M85</f>
        <v>0</v>
      </c>
      <c r="V85" s="150">
        <f>IF(C85&gt;$C$10,0,IF(AND($C$38&gt;0,A85&gt;=$C$38,EOMONTH(A85,0)&lt;=$C$39),E85*(1-$C$40)*(1-I$15),E85*(1-I$15)))+M85</f>
        <v>0</v>
      </c>
      <c r="W85" s="181">
        <f>IF(C85&gt;$C$10,0,IF(AND($C$38&gt;0,A85&gt;=$C$38,EOMONTH(A85,0)&lt;=$C$39),E85*(1-$C$40)*(1-F$34),E85*(1-F$34)))+M85</f>
        <v>0</v>
      </c>
      <c r="X85" s="179">
        <f>IF(C85&gt;$C$10,0,IF(AND($C$38&gt;0,A85&gt;=$C$38,EOMONTH(A85,0)&lt;=$C$39),E85*(1-$C$40)*(1-G$34),E85*(1-G$34)))+M85</f>
        <v>0</v>
      </c>
      <c r="Y85" s="178">
        <f>IF(C85&gt;$C$10,0,IF(AND($C$38&gt;0,A85&gt;=$C$38,EOMONTH(A85,0)&lt;=$C$39),E85*(1-$C$40)*(1-H$34),E85*(1-H$34)))+M85</f>
        <v>0</v>
      </c>
      <c r="Z85" s="179">
        <f>IF(C85&gt;$C$10,0,IF(AND($C$38&gt;0,A85&gt;=$C$38,EOMONTH(A85,0)&lt;=$C$39),E85*(1-$C$40)*(1-I$34),E85*(1-I$34)))+M85</f>
        <v>0</v>
      </c>
      <c r="AA85" s="180">
        <f>IF(C85&gt;$C$10,0,IF(AND($C$38&gt;0,A85&gt;=$C$38,EOMONTH(A85,0)&lt;=$C$39),E85*(1-$C$40)*(1-J$34),E85*(1-J$34)))+M85</f>
        <v>0</v>
      </c>
    </row>
    <row r="86" spans="1:27" x14ac:dyDescent="0.25">
      <c r="A86" s="104">
        <f>EDATE($C$8,11)</f>
        <v>335</v>
      </c>
      <c r="B86" s="105">
        <f>EDATE($C$8,12)-1</f>
        <v>365</v>
      </c>
      <c r="C86" s="92">
        <f t="shared" si="10"/>
        <v>12</v>
      </c>
      <c r="D86" s="106">
        <f t="shared" si="0"/>
        <v>1</v>
      </c>
      <c r="E86" s="107">
        <f t="shared" si="1"/>
        <v>0</v>
      </c>
      <c r="F86" s="94">
        <f t="shared" si="11"/>
        <v>0</v>
      </c>
      <c r="G86" s="95">
        <f t="shared" si="12"/>
        <v>0</v>
      </c>
      <c r="H86" s="94">
        <f t="shared" si="2"/>
        <v>0</v>
      </c>
      <c r="I86" s="94">
        <f t="shared" si="3"/>
        <v>0</v>
      </c>
      <c r="J86" s="94">
        <f t="shared" si="4"/>
        <v>0</v>
      </c>
      <c r="K86" s="94">
        <f t="shared" si="5"/>
        <v>0</v>
      </c>
      <c r="L86" s="94">
        <f t="shared" si="6"/>
        <v>0</v>
      </c>
      <c r="M86" s="94">
        <f t="shared" si="7"/>
        <v>0</v>
      </c>
      <c r="N86" s="107">
        <f t="shared" si="8"/>
        <v>0</v>
      </c>
      <c r="O86" s="108">
        <f t="shared" si="9"/>
        <v>0</v>
      </c>
      <c r="P86" s="107">
        <f>MAX(SUM(N86:N198)+S86,0)</f>
        <v>0</v>
      </c>
      <c r="Q86" s="107">
        <f>SUM(F86:F198)</f>
        <v>0</v>
      </c>
      <c r="R86" s="107">
        <f>SUM(M86:M198)</f>
        <v>0</v>
      </c>
      <c r="S86" s="109">
        <f>SUMPRODUCT(($C$55:$C$67)*($D$55:$D$67&gt;=$A86))</f>
        <v>0</v>
      </c>
      <c r="T86" s="150">
        <f>IF(C86&gt;$C$10,0,IF(AND($C$38&gt;0,A86&gt;=$C$38,EOMONTH(A86,0)&lt;=$C$39),E86*(1-$C$40)*(1-G$15),E86*(1-G$15)))+M86</f>
        <v>0</v>
      </c>
      <c r="U86" s="150">
        <f>IF(C86&gt;$C$10,0,IF(AND($C$38&gt;0,A86&gt;=$C$38,EOMONTH(A86,0)&lt;=$C$39),E86*(1-$C$40)*(1-H$15),E86*(1-H$15)))+M86</f>
        <v>0</v>
      </c>
      <c r="V86" s="150">
        <f>IF(C86&gt;$C$10,0,IF(AND($C$38&gt;0,A86&gt;=$C$38,EOMONTH(A86,0)&lt;=$C$39),E86*(1-$C$40)*(1-I$15),E86*(1-I$15)))+M86</f>
        <v>0</v>
      </c>
      <c r="W86" s="181">
        <f>IF(C86&gt;$C$10,0,IF(AND($C$38&gt;0,A86&gt;=$C$38,EOMONTH(A86,0)&lt;=$C$39),E86*(1-$C$40)*(1-F$34),E86*(1-F$34)))+M86</f>
        <v>0</v>
      </c>
      <c r="X86" s="179">
        <f>IF(C86&gt;$C$10,0,IF(AND($C$38&gt;0,A86&gt;=$C$38,EOMONTH(A86,0)&lt;=$C$39),E86*(1-$C$40)*(1-G$34),E86*(1-G$34)))+M86</f>
        <v>0</v>
      </c>
      <c r="Y86" s="178">
        <f>IF(C86&gt;$C$10,0,IF(AND($C$38&gt;0,A86&gt;=$C$38,EOMONTH(A86,0)&lt;=$C$39),E86*(1-$C$40)*(1-H$34),E86*(1-H$34)))+M86</f>
        <v>0</v>
      </c>
      <c r="Z86" s="179">
        <f>IF(C86&gt;$C$10,0,IF(AND($C$38&gt;0,A86&gt;=$C$38,EOMONTH(A86,0)&lt;=$C$39),E86*(1-$C$40)*(1-I$34),E86*(1-I$34)))+M86</f>
        <v>0</v>
      </c>
      <c r="AA86" s="180">
        <f>IF(C86&gt;$C$10,0,IF(AND($C$38&gt;0,A86&gt;=$C$38,EOMONTH(A86,0)&lt;=$C$39),E86*(1-$C$40)*(1-J$34),E86*(1-J$34)))+M86</f>
        <v>0</v>
      </c>
    </row>
    <row r="87" spans="1:27" x14ac:dyDescent="0.25">
      <c r="A87" s="98">
        <f>EDATE($C$8,12)</f>
        <v>366</v>
      </c>
      <c r="B87" s="99">
        <f>EDATE($C$8,13)-1</f>
        <v>396</v>
      </c>
      <c r="C87" s="92">
        <f t="shared" si="10"/>
        <v>13</v>
      </c>
      <c r="D87" s="100">
        <f t="shared" si="0"/>
        <v>2</v>
      </c>
      <c r="E87" s="101">
        <f t="shared" si="1"/>
        <v>0</v>
      </c>
      <c r="F87" s="94">
        <f t="shared" si="11"/>
        <v>0</v>
      </c>
      <c r="G87" s="95">
        <f t="shared" si="12"/>
        <v>0</v>
      </c>
      <c r="H87" s="94">
        <f t="shared" si="2"/>
        <v>0</v>
      </c>
      <c r="I87" s="94">
        <f t="shared" si="3"/>
        <v>0</v>
      </c>
      <c r="J87" s="94">
        <f t="shared" si="4"/>
        <v>0</v>
      </c>
      <c r="K87" s="94">
        <f t="shared" si="5"/>
        <v>0</v>
      </c>
      <c r="L87" s="94">
        <f t="shared" si="6"/>
        <v>0</v>
      </c>
      <c r="M87" s="94">
        <f t="shared" si="7"/>
        <v>0</v>
      </c>
      <c r="N87" s="101">
        <f t="shared" si="8"/>
        <v>0</v>
      </c>
      <c r="O87" s="102">
        <f t="shared" si="9"/>
        <v>0</v>
      </c>
      <c r="P87" s="101">
        <f>MAX(SUM(N87:N198)+S87,0)</f>
        <v>0</v>
      </c>
      <c r="Q87" s="101">
        <f>SUM(F87:F198)</f>
        <v>0</v>
      </c>
      <c r="R87" s="101">
        <f>SUM(M87:M198)</f>
        <v>0</v>
      </c>
      <c r="S87" s="103">
        <f>SUMPRODUCT(($C$55:$C$67)*($D$55:$D$67&gt;=$A87))</f>
        <v>0</v>
      </c>
      <c r="T87" s="150">
        <f>IF(C87&gt;$C$10,0,IF(AND($C$38&gt;0,A87&gt;=$C$38,EOMONTH(A87,0)&lt;=$C$39),E87*(1-$C$40)*(1-G$15),E87*(1-G$15)))+M87</f>
        <v>0</v>
      </c>
      <c r="U87" s="150">
        <f>IF(C87&gt;$C$10,0,IF(AND($C$38&gt;0,A87&gt;=$C$38,EOMONTH(A87,0)&lt;=$C$39),E87*(1-$C$40)*(1-H$15),E87*(1-H$15)))+M87</f>
        <v>0</v>
      </c>
      <c r="V87" s="150">
        <f>IF(C87&gt;$C$10,0,IF(AND($C$38&gt;0,A87&gt;=$C$38,EOMONTH(A87,0)&lt;=$C$39),E87*(1-$C$40)*(1-I$15),E87*(1-I$15)))+M87</f>
        <v>0</v>
      </c>
      <c r="W87" s="181">
        <f>IF(C87&gt;$C$10,0,IF(AND($C$38&gt;0,A87&gt;=$C$38,EOMONTH(A87,0)&lt;=$C$39),E87*(1-$C$40)*(1-F$34),E87*(1-F$34)))+M87</f>
        <v>0</v>
      </c>
      <c r="X87" s="179">
        <f>IF(C87&gt;$C$10,0,IF(AND($C$38&gt;0,A87&gt;=$C$38,EOMONTH(A87,0)&lt;=$C$39),E87*(1-$C$40)*(1-G$34),E87*(1-G$34)))+M87</f>
        <v>0</v>
      </c>
      <c r="Y87" s="178">
        <f>IF(C87&gt;$C$10,0,IF(AND($C$38&gt;0,A87&gt;=$C$38,EOMONTH(A87,0)&lt;=$C$39),E87*(1-$C$40)*(1-H$34),E87*(1-H$34)))+M87</f>
        <v>0</v>
      </c>
      <c r="Z87" s="179">
        <f>IF(C87&gt;$C$10,0,IF(AND($C$38&gt;0,A87&gt;=$C$38,EOMONTH(A87,0)&lt;=$C$39),E87*(1-$C$40)*(1-I$34),E87*(1-I$34)))+M87</f>
        <v>0</v>
      </c>
      <c r="AA87" s="180">
        <f>IF(C87&gt;$C$10,0,IF(AND($C$38&gt;0,A87&gt;=$C$38,EOMONTH(A87,0)&lt;=$C$39),E87*(1-$C$40)*(1-J$34),E87*(1-J$34)))+M87</f>
        <v>0</v>
      </c>
    </row>
    <row r="88" spans="1:27" x14ac:dyDescent="0.25">
      <c r="A88" s="104">
        <f>EDATE($C$8,13)</f>
        <v>397</v>
      </c>
      <c r="B88" s="105">
        <f>EDATE($C$8,14)-1</f>
        <v>424</v>
      </c>
      <c r="C88" s="92">
        <f t="shared" si="10"/>
        <v>14</v>
      </c>
      <c r="D88" s="106">
        <f t="shared" si="0"/>
        <v>2</v>
      </c>
      <c r="E88" s="107">
        <f t="shared" si="1"/>
        <v>0</v>
      </c>
      <c r="F88" s="94">
        <f t="shared" si="11"/>
        <v>0</v>
      </c>
      <c r="G88" s="95">
        <f t="shared" si="12"/>
        <v>0</v>
      </c>
      <c r="H88" s="94">
        <f t="shared" si="2"/>
        <v>0</v>
      </c>
      <c r="I88" s="94">
        <f t="shared" si="3"/>
        <v>0</v>
      </c>
      <c r="J88" s="94">
        <f t="shared" si="4"/>
        <v>0</v>
      </c>
      <c r="K88" s="94">
        <f t="shared" si="5"/>
        <v>0</v>
      </c>
      <c r="L88" s="94">
        <f t="shared" si="6"/>
        <v>0</v>
      </c>
      <c r="M88" s="94">
        <f t="shared" si="7"/>
        <v>0</v>
      </c>
      <c r="N88" s="107">
        <f t="shared" si="8"/>
        <v>0</v>
      </c>
      <c r="O88" s="108">
        <f t="shared" si="9"/>
        <v>0</v>
      </c>
      <c r="P88" s="107">
        <f>MAX(SUM(N88:N198)+S88,0)</f>
        <v>0</v>
      </c>
      <c r="Q88" s="107">
        <f>SUM(F88:F198)</f>
        <v>0</v>
      </c>
      <c r="R88" s="107">
        <f>SUM(M88:M198)</f>
        <v>0</v>
      </c>
      <c r="S88" s="109">
        <f>SUMPRODUCT(($C$55:$C$67)*($D$55:$D$67&gt;=$A88))</f>
        <v>0</v>
      </c>
      <c r="T88" s="150">
        <f>IF(C88&gt;$C$10,0,IF(AND($C$38&gt;0,A88&gt;=$C$38,EOMONTH(A88,0)&lt;=$C$39),E88*(1-$C$40)*(1-G$15),E88*(1-G$15)))+M88</f>
        <v>0</v>
      </c>
      <c r="U88" s="150">
        <f>IF(C88&gt;$C$10,0,IF(AND($C$38&gt;0,A88&gt;=$C$38,EOMONTH(A88,0)&lt;=$C$39),E88*(1-$C$40)*(1-H$15),E88*(1-H$15)))+M88</f>
        <v>0</v>
      </c>
      <c r="V88" s="150">
        <f>IF(C88&gt;$C$10,0,IF(AND($C$38&gt;0,A88&gt;=$C$38,EOMONTH(A88,0)&lt;=$C$39),E88*(1-$C$40)*(1-I$15),E88*(1-I$15)))+M88</f>
        <v>0</v>
      </c>
      <c r="W88" s="181">
        <f>IF(C88&gt;$C$10,0,IF(AND($C$38&gt;0,A88&gt;=$C$38,EOMONTH(A88,0)&lt;=$C$39),E88*(1-$C$40)*(1-F$34),E88*(1-F$34)))+M88</f>
        <v>0</v>
      </c>
      <c r="X88" s="179">
        <f>IF(C88&gt;$C$10,0,IF(AND($C$38&gt;0,A88&gt;=$C$38,EOMONTH(A88,0)&lt;=$C$39),E88*(1-$C$40)*(1-G$34),E88*(1-G$34)))+M88</f>
        <v>0</v>
      </c>
      <c r="Y88" s="178">
        <f>IF(C88&gt;$C$10,0,IF(AND($C$38&gt;0,A88&gt;=$C$38,EOMONTH(A88,0)&lt;=$C$39),E88*(1-$C$40)*(1-H$34),E88*(1-H$34)))+M88</f>
        <v>0</v>
      </c>
      <c r="Z88" s="179">
        <f>IF(C88&gt;$C$10,0,IF(AND($C$38&gt;0,A88&gt;=$C$38,EOMONTH(A88,0)&lt;=$C$39),E88*(1-$C$40)*(1-I$34),E88*(1-I$34)))+M88</f>
        <v>0</v>
      </c>
      <c r="AA88" s="180">
        <f>IF(C88&gt;$C$10,0,IF(AND($C$38&gt;0,A88&gt;=$C$38,EOMONTH(A88,0)&lt;=$C$39),E88*(1-$C$40)*(1-J$34),E88*(1-J$34)))+M88</f>
        <v>0</v>
      </c>
    </row>
    <row r="89" spans="1:27" x14ac:dyDescent="0.25">
      <c r="A89" s="98">
        <f>EDATE($C$8,14)</f>
        <v>425</v>
      </c>
      <c r="B89" s="99">
        <f>EDATE($C$8,15)-1</f>
        <v>455</v>
      </c>
      <c r="C89" s="92">
        <f t="shared" si="10"/>
        <v>15</v>
      </c>
      <c r="D89" s="100">
        <f t="shared" si="0"/>
        <v>2</v>
      </c>
      <c r="E89" s="101">
        <f t="shared" si="1"/>
        <v>0</v>
      </c>
      <c r="F89" s="94">
        <f t="shared" si="11"/>
        <v>0</v>
      </c>
      <c r="G89" s="95">
        <f t="shared" si="12"/>
        <v>0</v>
      </c>
      <c r="H89" s="94">
        <f t="shared" si="2"/>
        <v>0</v>
      </c>
      <c r="I89" s="94">
        <f t="shared" si="3"/>
        <v>0</v>
      </c>
      <c r="J89" s="94">
        <f t="shared" si="4"/>
        <v>0</v>
      </c>
      <c r="K89" s="94">
        <f t="shared" si="5"/>
        <v>0</v>
      </c>
      <c r="L89" s="94">
        <f t="shared" si="6"/>
        <v>0</v>
      </c>
      <c r="M89" s="94">
        <f t="shared" si="7"/>
        <v>0</v>
      </c>
      <c r="N89" s="101">
        <f t="shared" si="8"/>
        <v>0</v>
      </c>
      <c r="O89" s="102">
        <f t="shared" si="9"/>
        <v>0</v>
      </c>
      <c r="P89" s="101">
        <f>MAX(SUM(N89:N198)+S89,0)</f>
        <v>0</v>
      </c>
      <c r="Q89" s="101">
        <f>SUM(F89:F198)</f>
        <v>0</v>
      </c>
      <c r="R89" s="101">
        <f>SUM(M89:M198)</f>
        <v>0</v>
      </c>
      <c r="S89" s="103">
        <f>SUMPRODUCT(($C$55:$C$67)*($D$55:$D$67&gt;=$A89))</f>
        <v>0</v>
      </c>
      <c r="T89" s="150">
        <f>IF(C89&gt;$C$10,0,IF(AND($C$38&gt;0,A89&gt;=$C$38,EOMONTH(A89,0)&lt;=$C$39),E89*(1-$C$40)*(1-G$15),E89*(1-G$15)))+M89</f>
        <v>0</v>
      </c>
      <c r="U89" s="150">
        <f>IF(C89&gt;$C$10,0,IF(AND($C$38&gt;0,A89&gt;=$C$38,EOMONTH(A89,0)&lt;=$C$39),E89*(1-$C$40)*(1-H$15),E89*(1-H$15)))+M89</f>
        <v>0</v>
      </c>
      <c r="V89" s="150">
        <f>IF(C89&gt;$C$10,0,IF(AND($C$38&gt;0,A89&gt;=$C$38,EOMONTH(A89,0)&lt;=$C$39),E89*(1-$C$40)*(1-I$15),E89*(1-I$15)))+M89</f>
        <v>0</v>
      </c>
      <c r="W89" s="181">
        <f>IF(C89&gt;$C$10,0,IF(AND($C$38&gt;0,A89&gt;=$C$38,EOMONTH(A89,0)&lt;=$C$39),E89*(1-$C$40)*(1-F$34),E89*(1-F$34)))+M89</f>
        <v>0</v>
      </c>
      <c r="X89" s="179">
        <f>IF(C89&gt;$C$10,0,IF(AND($C$38&gt;0,A89&gt;=$C$38,EOMONTH(A89,0)&lt;=$C$39),E89*(1-$C$40)*(1-G$34),E89*(1-G$34)))+M89</f>
        <v>0</v>
      </c>
      <c r="Y89" s="178">
        <f>IF(C89&gt;$C$10,0,IF(AND($C$38&gt;0,A89&gt;=$C$38,EOMONTH(A89,0)&lt;=$C$39),E89*(1-$C$40)*(1-H$34),E89*(1-H$34)))+M89</f>
        <v>0</v>
      </c>
      <c r="Z89" s="179">
        <f>IF(C89&gt;$C$10,0,IF(AND($C$38&gt;0,A89&gt;=$C$38,EOMONTH(A89,0)&lt;=$C$39),E89*(1-$C$40)*(1-I$34),E89*(1-I$34)))+M89</f>
        <v>0</v>
      </c>
      <c r="AA89" s="180">
        <f>IF(C89&gt;$C$10,0,IF(AND($C$38&gt;0,A89&gt;=$C$38,EOMONTH(A89,0)&lt;=$C$39),E89*(1-$C$40)*(1-J$34),E89*(1-J$34)))+M89</f>
        <v>0</v>
      </c>
    </row>
    <row r="90" spans="1:27" x14ac:dyDescent="0.25">
      <c r="A90" s="104">
        <f>EDATE($C$8,15)</f>
        <v>456</v>
      </c>
      <c r="B90" s="105">
        <f>EDATE($C$8,16)-1</f>
        <v>485</v>
      </c>
      <c r="C90" s="92">
        <f t="shared" si="10"/>
        <v>16</v>
      </c>
      <c r="D90" s="106">
        <f t="shared" si="0"/>
        <v>2</v>
      </c>
      <c r="E90" s="107">
        <f t="shared" si="1"/>
        <v>0</v>
      </c>
      <c r="F90" s="94">
        <f t="shared" si="11"/>
        <v>0</v>
      </c>
      <c r="G90" s="95">
        <f t="shared" si="12"/>
        <v>0</v>
      </c>
      <c r="H90" s="94">
        <f t="shared" si="2"/>
        <v>0</v>
      </c>
      <c r="I90" s="94">
        <f t="shared" si="3"/>
        <v>0</v>
      </c>
      <c r="J90" s="94">
        <f t="shared" si="4"/>
        <v>0</v>
      </c>
      <c r="K90" s="94">
        <f t="shared" si="5"/>
        <v>0</v>
      </c>
      <c r="L90" s="94">
        <f t="shared" si="6"/>
        <v>0</v>
      </c>
      <c r="M90" s="94">
        <f t="shared" si="7"/>
        <v>0</v>
      </c>
      <c r="N90" s="107">
        <f t="shared" si="8"/>
        <v>0</v>
      </c>
      <c r="O90" s="108">
        <f t="shared" si="9"/>
        <v>0</v>
      </c>
      <c r="P90" s="107">
        <f>MAX(SUM(N90:N198)+S90,0)</f>
        <v>0</v>
      </c>
      <c r="Q90" s="107">
        <f>SUM(F90:F198)</f>
        <v>0</v>
      </c>
      <c r="R90" s="107">
        <f>SUM(M90:M198)</f>
        <v>0</v>
      </c>
      <c r="S90" s="109">
        <f>SUMPRODUCT(($C$55:$C$67)*($D$55:$D$67&gt;=$A90))</f>
        <v>0</v>
      </c>
      <c r="T90" s="150">
        <f>IF(C90&gt;$C$10,0,IF(AND($C$38&gt;0,A90&gt;=$C$38,EOMONTH(A90,0)&lt;=$C$39),E90*(1-$C$40)*(1-G$15),E90*(1-G$15)))+M90</f>
        <v>0</v>
      </c>
      <c r="U90" s="150">
        <f>IF(C90&gt;$C$10,0,IF(AND($C$38&gt;0,A90&gt;=$C$38,EOMONTH(A90,0)&lt;=$C$39),E90*(1-$C$40)*(1-H$15),E90*(1-H$15)))+M90</f>
        <v>0</v>
      </c>
      <c r="V90" s="150">
        <f>IF(C90&gt;$C$10,0,IF(AND($C$38&gt;0,A90&gt;=$C$38,EOMONTH(A90,0)&lt;=$C$39),E90*(1-$C$40)*(1-I$15),E90*(1-I$15)))+M90</f>
        <v>0</v>
      </c>
      <c r="W90" s="181">
        <f>IF(C90&gt;$C$10,0,IF(AND($C$38&gt;0,A90&gt;=$C$38,EOMONTH(A90,0)&lt;=$C$39),E90*(1-$C$40)*(1-F$34),E90*(1-F$34)))+M90</f>
        <v>0</v>
      </c>
      <c r="X90" s="179">
        <f>IF(C90&gt;$C$10,0,IF(AND($C$38&gt;0,A90&gt;=$C$38,EOMONTH(A90,0)&lt;=$C$39),E90*(1-$C$40)*(1-G$34),E90*(1-G$34)))+M90</f>
        <v>0</v>
      </c>
      <c r="Y90" s="178">
        <f>IF(C90&gt;$C$10,0,IF(AND($C$38&gt;0,A90&gt;=$C$38,EOMONTH(A90,0)&lt;=$C$39),E90*(1-$C$40)*(1-H$34),E90*(1-H$34)))+M90</f>
        <v>0</v>
      </c>
      <c r="Z90" s="179">
        <f>IF(C90&gt;$C$10,0,IF(AND($C$38&gt;0,A90&gt;=$C$38,EOMONTH(A90,0)&lt;=$C$39),E90*(1-$C$40)*(1-I$34),E90*(1-I$34)))+M90</f>
        <v>0</v>
      </c>
      <c r="AA90" s="180">
        <f>IF(C90&gt;$C$10,0,IF(AND($C$38&gt;0,A90&gt;=$C$38,EOMONTH(A90,0)&lt;=$C$39),E90*(1-$C$40)*(1-J$34),E90*(1-J$34)))+M90</f>
        <v>0</v>
      </c>
    </row>
    <row r="91" spans="1:27" x14ac:dyDescent="0.25">
      <c r="A91" s="98">
        <f>EDATE($C$8,16)</f>
        <v>486</v>
      </c>
      <c r="B91" s="99">
        <f>EDATE($C$8,17)-1</f>
        <v>516</v>
      </c>
      <c r="C91" s="92">
        <f t="shared" si="10"/>
        <v>17</v>
      </c>
      <c r="D91" s="100">
        <f t="shared" si="0"/>
        <v>2</v>
      </c>
      <c r="E91" s="101">
        <f t="shared" si="1"/>
        <v>0</v>
      </c>
      <c r="F91" s="94">
        <f t="shared" si="11"/>
        <v>0</v>
      </c>
      <c r="G91" s="95">
        <f t="shared" si="12"/>
        <v>0</v>
      </c>
      <c r="H91" s="94">
        <f t="shared" si="2"/>
        <v>0</v>
      </c>
      <c r="I91" s="94">
        <f t="shared" si="3"/>
        <v>0</v>
      </c>
      <c r="J91" s="94">
        <f t="shared" si="4"/>
        <v>0</v>
      </c>
      <c r="K91" s="94">
        <f t="shared" si="5"/>
        <v>0</v>
      </c>
      <c r="L91" s="94">
        <f t="shared" si="6"/>
        <v>0</v>
      </c>
      <c r="M91" s="94">
        <f t="shared" si="7"/>
        <v>0</v>
      </c>
      <c r="N91" s="101">
        <f t="shared" si="8"/>
        <v>0</v>
      </c>
      <c r="O91" s="102">
        <f t="shared" si="9"/>
        <v>0</v>
      </c>
      <c r="P91" s="101">
        <f>MAX(SUM(N91:N198)+S91,0)</f>
        <v>0</v>
      </c>
      <c r="Q91" s="101">
        <f>SUM(F91:F198)</f>
        <v>0</v>
      </c>
      <c r="R91" s="101">
        <f>SUM(M91:M198)</f>
        <v>0</v>
      </c>
      <c r="S91" s="103">
        <f>SUMPRODUCT(($C$55:$C$67)*($D$55:$D$67&gt;=$A91))</f>
        <v>0</v>
      </c>
      <c r="T91" s="150">
        <f>IF(C91&gt;$C$10,0,IF(AND($C$38&gt;0,A91&gt;=$C$38,EOMONTH(A91,0)&lt;=$C$39),E91*(1-$C$40)*(1-G$15),E91*(1-G$15)))+M91</f>
        <v>0</v>
      </c>
      <c r="U91" s="150">
        <f>IF(C91&gt;$C$10,0,IF(AND($C$38&gt;0,A91&gt;=$C$38,EOMONTH(A91,0)&lt;=$C$39),E91*(1-$C$40)*(1-H$15),E91*(1-H$15)))+M91</f>
        <v>0</v>
      </c>
      <c r="V91" s="150">
        <f>IF(C91&gt;$C$10,0,IF(AND($C$38&gt;0,A91&gt;=$C$38,EOMONTH(A91,0)&lt;=$C$39),E91*(1-$C$40)*(1-I$15),E91*(1-I$15)))+M91</f>
        <v>0</v>
      </c>
      <c r="W91" s="181">
        <f>IF(C91&gt;$C$10,0,IF(AND($C$38&gt;0,A91&gt;=$C$38,EOMONTH(A91,0)&lt;=$C$39),E91*(1-$C$40)*(1-F$34),E91*(1-F$34)))+M91</f>
        <v>0</v>
      </c>
      <c r="X91" s="179">
        <f>IF(C91&gt;$C$10,0,IF(AND($C$38&gt;0,A91&gt;=$C$38,EOMONTH(A91,0)&lt;=$C$39),E91*(1-$C$40)*(1-G$34),E91*(1-G$34)))+M91</f>
        <v>0</v>
      </c>
      <c r="Y91" s="178">
        <f>IF(C91&gt;$C$10,0,IF(AND($C$38&gt;0,A91&gt;=$C$38,EOMONTH(A91,0)&lt;=$C$39),E91*(1-$C$40)*(1-H$34),E91*(1-H$34)))+M91</f>
        <v>0</v>
      </c>
      <c r="Z91" s="179">
        <f>IF(C91&gt;$C$10,0,IF(AND($C$38&gt;0,A91&gt;=$C$38,EOMONTH(A91,0)&lt;=$C$39),E91*(1-$C$40)*(1-I$34),E91*(1-I$34)))+M91</f>
        <v>0</v>
      </c>
      <c r="AA91" s="180">
        <f>IF(C91&gt;$C$10,0,IF(AND($C$38&gt;0,A91&gt;=$C$38,EOMONTH(A91,0)&lt;=$C$39),E91*(1-$C$40)*(1-J$34),E91*(1-J$34)))+M91</f>
        <v>0</v>
      </c>
    </row>
    <row r="92" spans="1:27" x14ac:dyDescent="0.25">
      <c r="A92" s="104">
        <f>EDATE($C$8,17)</f>
        <v>517</v>
      </c>
      <c r="B92" s="105">
        <f>EDATE($C$8,18)-1</f>
        <v>546</v>
      </c>
      <c r="C92" s="92">
        <f t="shared" si="10"/>
        <v>18</v>
      </c>
      <c r="D92" s="106">
        <f t="shared" si="0"/>
        <v>2</v>
      </c>
      <c r="E92" s="107">
        <f t="shared" si="1"/>
        <v>0</v>
      </c>
      <c r="F92" s="94">
        <f t="shared" si="11"/>
        <v>0</v>
      </c>
      <c r="G92" s="95">
        <f t="shared" si="12"/>
        <v>0</v>
      </c>
      <c r="H92" s="94">
        <f t="shared" si="2"/>
        <v>0</v>
      </c>
      <c r="I92" s="94">
        <f t="shared" si="3"/>
        <v>0</v>
      </c>
      <c r="J92" s="94">
        <f t="shared" si="4"/>
        <v>0</v>
      </c>
      <c r="K92" s="94">
        <f t="shared" si="5"/>
        <v>0</v>
      </c>
      <c r="L92" s="94">
        <f t="shared" si="6"/>
        <v>0</v>
      </c>
      <c r="M92" s="94">
        <f t="shared" si="7"/>
        <v>0</v>
      </c>
      <c r="N92" s="107">
        <f t="shared" si="8"/>
        <v>0</v>
      </c>
      <c r="O92" s="108">
        <f t="shared" si="9"/>
        <v>0</v>
      </c>
      <c r="P92" s="107">
        <f>MAX(SUM(N92:N198)+S92,0)</f>
        <v>0</v>
      </c>
      <c r="Q92" s="107">
        <f>SUM(F92:F198)</f>
        <v>0</v>
      </c>
      <c r="R92" s="107">
        <f>SUM(M92:M198)</f>
        <v>0</v>
      </c>
      <c r="S92" s="109">
        <f>SUMPRODUCT(($C$55:$C$67)*($D$55:$D$67&gt;=$A92))</f>
        <v>0</v>
      </c>
      <c r="T92" s="150">
        <f>IF(C92&gt;$C$10,0,IF(AND($C$38&gt;0,A92&gt;=$C$38,EOMONTH(A92,0)&lt;=$C$39),E92*(1-$C$40)*(1-G$15),E92*(1-G$15)))+M92</f>
        <v>0</v>
      </c>
      <c r="U92" s="150">
        <f>IF(C92&gt;$C$10,0,IF(AND($C$38&gt;0,A92&gt;=$C$38,EOMONTH(A92,0)&lt;=$C$39),E92*(1-$C$40)*(1-H$15),E92*(1-H$15)))+M92</f>
        <v>0</v>
      </c>
      <c r="V92" s="150">
        <f>IF(C92&gt;$C$10,0,IF(AND($C$38&gt;0,A92&gt;=$C$38,EOMONTH(A92,0)&lt;=$C$39),E92*(1-$C$40)*(1-I$15),E92*(1-I$15)))+M92</f>
        <v>0</v>
      </c>
      <c r="W92" s="181">
        <f>IF(C92&gt;$C$10,0,IF(AND($C$38&gt;0,A92&gt;=$C$38,EOMONTH(A92,0)&lt;=$C$39),E92*(1-$C$40)*(1-F$34),E92*(1-F$34)))+M92</f>
        <v>0</v>
      </c>
      <c r="X92" s="179">
        <f>IF(C92&gt;$C$10,0,IF(AND($C$38&gt;0,A92&gt;=$C$38,EOMONTH(A92,0)&lt;=$C$39),E92*(1-$C$40)*(1-G$34),E92*(1-G$34)))+M92</f>
        <v>0</v>
      </c>
      <c r="Y92" s="178">
        <f>IF(C92&gt;$C$10,0,IF(AND($C$38&gt;0,A92&gt;=$C$38,EOMONTH(A92,0)&lt;=$C$39),E92*(1-$C$40)*(1-H$34),E92*(1-H$34)))+M92</f>
        <v>0</v>
      </c>
      <c r="Z92" s="179">
        <f>IF(C92&gt;$C$10,0,IF(AND($C$38&gt;0,A92&gt;=$C$38,EOMONTH(A92,0)&lt;=$C$39),E92*(1-$C$40)*(1-I$34),E92*(1-I$34)))+M92</f>
        <v>0</v>
      </c>
      <c r="AA92" s="180">
        <f>IF(C92&gt;$C$10,0,IF(AND($C$38&gt;0,A92&gt;=$C$38,EOMONTH(A92,0)&lt;=$C$39),E92*(1-$C$40)*(1-J$34),E92*(1-J$34)))+M92</f>
        <v>0</v>
      </c>
    </row>
    <row r="93" spans="1:27" x14ac:dyDescent="0.25">
      <c r="A93" s="98">
        <f>EDATE($C$8,18)</f>
        <v>547</v>
      </c>
      <c r="B93" s="99">
        <f>EDATE($C$8,19)-1</f>
        <v>577</v>
      </c>
      <c r="C93" s="92">
        <f t="shared" si="10"/>
        <v>19</v>
      </c>
      <c r="D93" s="100">
        <f t="shared" si="0"/>
        <v>2</v>
      </c>
      <c r="E93" s="101">
        <f t="shared" si="1"/>
        <v>0</v>
      </c>
      <c r="F93" s="94">
        <f t="shared" si="11"/>
        <v>0</v>
      </c>
      <c r="G93" s="95">
        <f t="shared" si="12"/>
        <v>0</v>
      </c>
      <c r="H93" s="94">
        <f t="shared" si="2"/>
        <v>0</v>
      </c>
      <c r="I93" s="94">
        <f t="shared" si="3"/>
        <v>0</v>
      </c>
      <c r="J93" s="94">
        <f t="shared" si="4"/>
        <v>0</v>
      </c>
      <c r="K93" s="94">
        <f t="shared" si="5"/>
        <v>0</v>
      </c>
      <c r="L93" s="94">
        <f t="shared" si="6"/>
        <v>0</v>
      </c>
      <c r="M93" s="94">
        <f t="shared" si="7"/>
        <v>0</v>
      </c>
      <c r="N93" s="101">
        <f t="shared" si="8"/>
        <v>0</v>
      </c>
      <c r="O93" s="102">
        <f t="shared" si="9"/>
        <v>0</v>
      </c>
      <c r="P93" s="101">
        <f>MAX(SUM(N93:N198)+S93,0)</f>
        <v>0</v>
      </c>
      <c r="Q93" s="101">
        <f>SUM(F93:F198)</f>
        <v>0</v>
      </c>
      <c r="R93" s="101">
        <f>SUM(M93:M198)</f>
        <v>0</v>
      </c>
      <c r="S93" s="103">
        <f>SUMPRODUCT(($C$55:$C$67)*($D$55:$D$67&gt;=$A93))</f>
        <v>0</v>
      </c>
      <c r="T93" s="150">
        <f>IF(C93&gt;$C$10,0,IF(AND($C$38&gt;0,A93&gt;=$C$38,EOMONTH(A93,0)&lt;=$C$39),E93*(1-$C$40)*(1-G$15),E93*(1-G$15)))+M93</f>
        <v>0</v>
      </c>
      <c r="U93" s="150">
        <f>IF(C93&gt;$C$10,0,IF(AND($C$38&gt;0,A93&gt;=$C$38,EOMONTH(A93,0)&lt;=$C$39),E93*(1-$C$40)*(1-H$15),E93*(1-H$15)))+M93</f>
        <v>0</v>
      </c>
      <c r="V93" s="150">
        <f>IF(C93&gt;$C$10,0,IF(AND($C$38&gt;0,A93&gt;=$C$38,EOMONTH(A93,0)&lt;=$C$39),E93*(1-$C$40)*(1-I$15),E93*(1-I$15)))+M93</f>
        <v>0</v>
      </c>
      <c r="W93" s="181">
        <f>IF(C93&gt;$C$10,0,IF(AND($C$38&gt;0,A93&gt;=$C$38,EOMONTH(A93,0)&lt;=$C$39),E93*(1-$C$40)*(1-F$34),E93*(1-F$34)))+M93</f>
        <v>0</v>
      </c>
      <c r="X93" s="179">
        <f>IF(C93&gt;$C$10,0,IF(AND($C$38&gt;0,A93&gt;=$C$38,EOMONTH(A93,0)&lt;=$C$39),E93*(1-$C$40)*(1-G$34),E93*(1-G$34)))+M93</f>
        <v>0</v>
      </c>
      <c r="Y93" s="178">
        <f>IF(C93&gt;$C$10,0,IF(AND($C$38&gt;0,A93&gt;=$C$38,EOMONTH(A93,0)&lt;=$C$39),E93*(1-$C$40)*(1-H$34),E93*(1-H$34)))+M93</f>
        <v>0</v>
      </c>
      <c r="Z93" s="179">
        <f>IF(C93&gt;$C$10,0,IF(AND($C$38&gt;0,A93&gt;=$C$38,EOMONTH(A93,0)&lt;=$C$39),E93*(1-$C$40)*(1-I$34),E93*(1-I$34)))+M93</f>
        <v>0</v>
      </c>
      <c r="AA93" s="180">
        <f>IF(C93&gt;$C$10,0,IF(AND($C$38&gt;0,A93&gt;=$C$38,EOMONTH(A93,0)&lt;=$C$39),E93*(1-$C$40)*(1-J$34),E93*(1-J$34)))+M93</f>
        <v>0</v>
      </c>
    </row>
    <row r="94" spans="1:27" x14ac:dyDescent="0.25">
      <c r="A94" s="104">
        <f>EDATE($C$8,19)</f>
        <v>578</v>
      </c>
      <c r="B94" s="105">
        <f>EDATE($C$8,20)-1</f>
        <v>608</v>
      </c>
      <c r="C94" s="92">
        <f t="shared" si="10"/>
        <v>20</v>
      </c>
      <c r="D94" s="106">
        <f t="shared" si="0"/>
        <v>2</v>
      </c>
      <c r="E94" s="107">
        <f t="shared" si="1"/>
        <v>0</v>
      </c>
      <c r="F94" s="94">
        <f t="shared" si="11"/>
        <v>0</v>
      </c>
      <c r="G94" s="95">
        <f t="shared" si="12"/>
        <v>0</v>
      </c>
      <c r="H94" s="94">
        <f t="shared" si="2"/>
        <v>0</v>
      </c>
      <c r="I94" s="94">
        <f t="shared" si="3"/>
        <v>0</v>
      </c>
      <c r="J94" s="94">
        <f t="shared" si="4"/>
        <v>0</v>
      </c>
      <c r="K94" s="94">
        <f t="shared" si="5"/>
        <v>0</v>
      </c>
      <c r="L94" s="94">
        <f t="shared" si="6"/>
        <v>0</v>
      </c>
      <c r="M94" s="94">
        <f t="shared" si="7"/>
        <v>0</v>
      </c>
      <c r="N94" s="107">
        <f t="shared" si="8"/>
        <v>0</v>
      </c>
      <c r="O94" s="108">
        <f t="shared" si="9"/>
        <v>0</v>
      </c>
      <c r="P94" s="107">
        <f>MAX(SUM(N94:N198)+S94,0)</f>
        <v>0</v>
      </c>
      <c r="Q94" s="107">
        <f>SUM(F94:F198)</f>
        <v>0</v>
      </c>
      <c r="R94" s="107">
        <f>SUM(M94:M198)</f>
        <v>0</v>
      </c>
      <c r="S94" s="109">
        <f>SUMPRODUCT(($C$55:$C$67)*($D$55:$D$67&gt;=$A94))</f>
        <v>0</v>
      </c>
      <c r="T94" s="150">
        <f>IF(C94&gt;$C$10,0,IF(AND($C$38&gt;0,A94&gt;=$C$38,EOMONTH(A94,0)&lt;=$C$39),E94*(1-$C$40)*(1-G$15),E94*(1-G$15)))+M94</f>
        <v>0</v>
      </c>
      <c r="U94" s="150">
        <f>IF(C94&gt;$C$10,0,IF(AND($C$38&gt;0,A94&gt;=$C$38,EOMONTH(A94,0)&lt;=$C$39),E94*(1-$C$40)*(1-H$15),E94*(1-H$15)))+M94</f>
        <v>0</v>
      </c>
      <c r="V94" s="150">
        <f>IF(C94&gt;$C$10,0,IF(AND($C$38&gt;0,A94&gt;=$C$38,EOMONTH(A94,0)&lt;=$C$39),E94*(1-$C$40)*(1-I$15),E94*(1-I$15)))+M94</f>
        <v>0</v>
      </c>
      <c r="W94" s="181">
        <f>IF(C94&gt;$C$10,0,IF(AND($C$38&gt;0,A94&gt;=$C$38,EOMONTH(A94,0)&lt;=$C$39),E94*(1-$C$40)*(1-F$34),E94*(1-F$34)))+M94</f>
        <v>0</v>
      </c>
      <c r="X94" s="179">
        <f>IF(C94&gt;$C$10,0,IF(AND($C$38&gt;0,A94&gt;=$C$38,EOMONTH(A94,0)&lt;=$C$39),E94*(1-$C$40)*(1-G$34),E94*(1-G$34)))+M94</f>
        <v>0</v>
      </c>
      <c r="Y94" s="178">
        <f>IF(C94&gt;$C$10,0,IF(AND($C$38&gt;0,A94&gt;=$C$38,EOMONTH(A94,0)&lt;=$C$39),E94*(1-$C$40)*(1-H$34),E94*(1-H$34)))+M94</f>
        <v>0</v>
      </c>
      <c r="Z94" s="179">
        <f>IF(C94&gt;$C$10,0,IF(AND($C$38&gt;0,A94&gt;=$C$38,EOMONTH(A94,0)&lt;=$C$39),E94*(1-$C$40)*(1-I$34),E94*(1-I$34)))+M94</f>
        <v>0</v>
      </c>
      <c r="AA94" s="180">
        <f>IF(C94&gt;$C$10,0,IF(AND($C$38&gt;0,A94&gt;=$C$38,EOMONTH(A94,0)&lt;=$C$39),E94*(1-$C$40)*(1-J$34),E94*(1-J$34)))+M94</f>
        <v>0</v>
      </c>
    </row>
    <row r="95" spans="1:27" x14ac:dyDescent="0.25">
      <c r="A95" s="98">
        <f>EDATE($C$8,20)</f>
        <v>609</v>
      </c>
      <c r="B95" s="99">
        <f>EDATE($C$8,21)-1</f>
        <v>638</v>
      </c>
      <c r="C95" s="92">
        <f t="shared" si="10"/>
        <v>21</v>
      </c>
      <c r="D95" s="100">
        <f t="shared" si="0"/>
        <v>2</v>
      </c>
      <c r="E95" s="101">
        <f t="shared" si="1"/>
        <v>0</v>
      </c>
      <c r="F95" s="94">
        <f t="shared" si="11"/>
        <v>0</v>
      </c>
      <c r="G95" s="95">
        <f t="shared" si="12"/>
        <v>0</v>
      </c>
      <c r="H95" s="94">
        <f t="shared" si="2"/>
        <v>0</v>
      </c>
      <c r="I95" s="94">
        <f t="shared" si="3"/>
        <v>0</v>
      </c>
      <c r="J95" s="94">
        <f t="shared" si="4"/>
        <v>0</v>
      </c>
      <c r="K95" s="94">
        <f t="shared" si="5"/>
        <v>0</v>
      </c>
      <c r="L95" s="94">
        <f t="shared" si="6"/>
        <v>0</v>
      </c>
      <c r="M95" s="94">
        <f t="shared" si="7"/>
        <v>0</v>
      </c>
      <c r="N95" s="101">
        <f t="shared" si="8"/>
        <v>0</v>
      </c>
      <c r="O95" s="102">
        <f t="shared" si="9"/>
        <v>0</v>
      </c>
      <c r="P95" s="101">
        <f>MAX(SUM(N95:N198)+S95,0)</f>
        <v>0</v>
      </c>
      <c r="Q95" s="101">
        <f>SUM(F95:F198)</f>
        <v>0</v>
      </c>
      <c r="R95" s="101">
        <f>SUM(M95:M198)</f>
        <v>0</v>
      </c>
      <c r="S95" s="103">
        <f>SUMPRODUCT(($C$55:$C$67)*($D$55:$D$67&gt;=$A95))</f>
        <v>0</v>
      </c>
      <c r="T95" s="150">
        <f>IF(C95&gt;$C$10,0,IF(AND($C$38&gt;0,A95&gt;=$C$38,EOMONTH(A95,0)&lt;=$C$39),E95*(1-$C$40)*(1-G$15),E95*(1-G$15)))+M95</f>
        <v>0</v>
      </c>
      <c r="U95" s="150">
        <f>IF(C95&gt;$C$10,0,IF(AND($C$38&gt;0,A95&gt;=$C$38,EOMONTH(A95,0)&lt;=$C$39),E95*(1-$C$40)*(1-H$15),E95*(1-H$15)))+M95</f>
        <v>0</v>
      </c>
      <c r="V95" s="150">
        <f>IF(C95&gt;$C$10,0,IF(AND($C$38&gt;0,A95&gt;=$C$38,EOMONTH(A95,0)&lt;=$C$39),E95*(1-$C$40)*(1-I$15),E95*(1-I$15)))+M95</f>
        <v>0</v>
      </c>
      <c r="W95" s="181">
        <f>IF(C95&gt;$C$10,0,IF(AND($C$38&gt;0,A95&gt;=$C$38,EOMONTH(A95,0)&lt;=$C$39),E95*(1-$C$40)*(1-F$34),E95*(1-F$34)))+M95</f>
        <v>0</v>
      </c>
      <c r="X95" s="179">
        <f>IF(C95&gt;$C$10,0,IF(AND($C$38&gt;0,A95&gt;=$C$38,EOMONTH(A95,0)&lt;=$C$39),E95*(1-$C$40)*(1-G$34),E95*(1-G$34)))+M95</f>
        <v>0</v>
      </c>
      <c r="Y95" s="178">
        <f>IF(C95&gt;$C$10,0,IF(AND($C$38&gt;0,A95&gt;=$C$38,EOMONTH(A95,0)&lt;=$C$39),E95*(1-$C$40)*(1-H$34),E95*(1-H$34)))+M95</f>
        <v>0</v>
      </c>
      <c r="Z95" s="179">
        <f>IF(C95&gt;$C$10,0,IF(AND($C$38&gt;0,A95&gt;=$C$38,EOMONTH(A95,0)&lt;=$C$39),E95*(1-$C$40)*(1-I$34),E95*(1-I$34)))+M95</f>
        <v>0</v>
      </c>
      <c r="AA95" s="180">
        <f>IF(C95&gt;$C$10,0,IF(AND($C$38&gt;0,A95&gt;=$C$38,EOMONTH(A95,0)&lt;=$C$39),E95*(1-$C$40)*(1-J$34),E95*(1-J$34)))+M95</f>
        <v>0</v>
      </c>
    </row>
    <row r="96" spans="1:27" x14ac:dyDescent="0.25">
      <c r="A96" s="104">
        <f>EDATE($C$8,21)</f>
        <v>639</v>
      </c>
      <c r="B96" s="105">
        <f>EDATE($C$8,22)-1</f>
        <v>669</v>
      </c>
      <c r="C96" s="92">
        <f t="shared" si="10"/>
        <v>22</v>
      </c>
      <c r="D96" s="106">
        <f t="shared" si="0"/>
        <v>2</v>
      </c>
      <c r="E96" s="107">
        <f t="shared" si="1"/>
        <v>0</v>
      </c>
      <c r="F96" s="94">
        <f t="shared" si="11"/>
        <v>0</v>
      </c>
      <c r="G96" s="95">
        <f t="shared" si="12"/>
        <v>0</v>
      </c>
      <c r="H96" s="94">
        <f t="shared" si="2"/>
        <v>0</v>
      </c>
      <c r="I96" s="94">
        <f t="shared" si="3"/>
        <v>0</v>
      </c>
      <c r="J96" s="94">
        <f t="shared" si="4"/>
        <v>0</v>
      </c>
      <c r="K96" s="94">
        <f t="shared" si="5"/>
        <v>0</v>
      </c>
      <c r="L96" s="94">
        <f t="shared" si="6"/>
        <v>0</v>
      </c>
      <c r="M96" s="94">
        <f t="shared" si="7"/>
        <v>0</v>
      </c>
      <c r="N96" s="107">
        <f t="shared" si="8"/>
        <v>0</v>
      </c>
      <c r="O96" s="108">
        <f t="shared" si="9"/>
        <v>0</v>
      </c>
      <c r="P96" s="107">
        <f>MAX(SUM(N96:N198)+S96,0)</f>
        <v>0</v>
      </c>
      <c r="Q96" s="107">
        <f>SUM(F96:F198)</f>
        <v>0</v>
      </c>
      <c r="R96" s="107">
        <f>SUM(M96:M198)</f>
        <v>0</v>
      </c>
      <c r="S96" s="109">
        <f>SUMPRODUCT(($C$55:$C$67)*($D$55:$D$67&gt;=$A96))</f>
        <v>0</v>
      </c>
      <c r="T96" s="150">
        <f>IF(C96&gt;$C$10,0,IF(AND($C$38&gt;0,A96&gt;=$C$38,EOMONTH(A96,0)&lt;=$C$39),E96*(1-$C$40)*(1-G$15),E96*(1-G$15)))+M96</f>
        <v>0</v>
      </c>
      <c r="U96" s="150">
        <f>IF(C96&gt;$C$10,0,IF(AND($C$38&gt;0,A96&gt;=$C$38,EOMONTH(A96,0)&lt;=$C$39),E96*(1-$C$40)*(1-H$15),E96*(1-H$15)))+M96</f>
        <v>0</v>
      </c>
      <c r="V96" s="150">
        <f>IF(C96&gt;$C$10,0,IF(AND($C$38&gt;0,A96&gt;=$C$38,EOMONTH(A96,0)&lt;=$C$39),E96*(1-$C$40)*(1-I$15),E96*(1-I$15)))+M96</f>
        <v>0</v>
      </c>
      <c r="W96" s="181">
        <f>IF(C96&gt;$C$10,0,IF(AND($C$38&gt;0,A96&gt;=$C$38,EOMONTH(A96,0)&lt;=$C$39),E96*(1-$C$40)*(1-F$34),E96*(1-F$34)))+M96</f>
        <v>0</v>
      </c>
      <c r="X96" s="179">
        <f>IF(C96&gt;$C$10,0,IF(AND($C$38&gt;0,A96&gt;=$C$38,EOMONTH(A96,0)&lt;=$C$39),E96*(1-$C$40)*(1-G$34),E96*(1-G$34)))+M96</f>
        <v>0</v>
      </c>
      <c r="Y96" s="178">
        <f>IF(C96&gt;$C$10,0,IF(AND($C$38&gt;0,A96&gt;=$C$38,EOMONTH(A96,0)&lt;=$C$39),E96*(1-$C$40)*(1-H$34),E96*(1-H$34)))+M96</f>
        <v>0</v>
      </c>
      <c r="Z96" s="179">
        <f>IF(C96&gt;$C$10,0,IF(AND($C$38&gt;0,A96&gt;=$C$38,EOMONTH(A96,0)&lt;=$C$39),E96*(1-$C$40)*(1-I$34),E96*(1-I$34)))+M96</f>
        <v>0</v>
      </c>
      <c r="AA96" s="180">
        <f>IF(C96&gt;$C$10,0,IF(AND($C$38&gt;0,A96&gt;=$C$38,EOMONTH(A96,0)&lt;=$C$39),E96*(1-$C$40)*(1-J$34),E96*(1-J$34)))+M96</f>
        <v>0</v>
      </c>
    </row>
    <row r="97" spans="1:27" x14ac:dyDescent="0.25">
      <c r="A97" s="98">
        <f>EDATE($C$8,22)</f>
        <v>670</v>
      </c>
      <c r="B97" s="99">
        <f>EDATE($C$8,23)-1</f>
        <v>699</v>
      </c>
      <c r="C97" s="92">
        <f t="shared" si="10"/>
        <v>23</v>
      </c>
      <c r="D97" s="100">
        <f t="shared" si="0"/>
        <v>2</v>
      </c>
      <c r="E97" s="101">
        <f t="shared" si="1"/>
        <v>0</v>
      </c>
      <c r="F97" s="94">
        <f t="shared" si="11"/>
        <v>0</v>
      </c>
      <c r="G97" s="95">
        <f t="shared" si="12"/>
        <v>0</v>
      </c>
      <c r="H97" s="94">
        <f t="shared" si="2"/>
        <v>0</v>
      </c>
      <c r="I97" s="94">
        <f t="shared" si="3"/>
        <v>0</v>
      </c>
      <c r="J97" s="94">
        <f t="shared" si="4"/>
        <v>0</v>
      </c>
      <c r="K97" s="94">
        <f t="shared" si="5"/>
        <v>0</v>
      </c>
      <c r="L97" s="94">
        <f t="shared" si="6"/>
        <v>0</v>
      </c>
      <c r="M97" s="94">
        <f t="shared" si="7"/>
        <v>0</v>
      </c>
      <c r="N97" s="101">
        <f t="shared" si="8"/>
        <v>0</v>
      </c>
      <c r="O97" s="102">
        <f t="shared" si="9"/>
        <v>0</v>
      </c>
      <c r="P97" s="101">
        <f>MAX(SUM(N97:N198)+S97,0)</f>
        <v>0</v>
      </c>
      <c r="Q97" s="101">
        <f>SUM(F97:F198)</f>
        <v>0</v>
      </c>
      <c r="R97" s="101">
        <f>SUM(M97:M198)</f>
        <v>0</v>
      </c>
      <c r="S97" s="103">
        <f>SUMPRODUCT(($C$55:$C$67)*($D$55:$D$67&gt;=$A97))</f>
        <v>0</v>
      </c>
      <c r="T97" s="150">
        <f>IF(C97&gt;$C$10,0,IF(AND($C$38&gt;0,A97&gt;=$C$38,EOMONTH(A97,0)&lt;=$C$39),E97*(1-$C$40)*(1-G$15),E97*(1-G$15)))+M97</f>
        <v>0</v>
      </c>
      <c r="U97" s="150">
        <f>IF(C97&gt;$C$10,0,IF(AND($C$38&gt;0,A97&gt;=$C$38,EOMONTH(A97,0)&lt;=$C$39),E97*(1-$C$40)*(1-H$15),E97*(1-H$15)))+M97</f>
        <v>0</v>
      </c>
      <c r="V97" s="150">
        <f>IF(C97&gt;$C$10,0,IF(AND($C$38&gt;0,A97&gt;=$C$38,EOMONTH(A97,0)&lt;=$C$39),E97*(1-$C$40)*(1-I$15),E97*(1-I$15)))+M97</f>
        <v>0</v>
      </c>
      <c r="W97" s="181">
        <f>IF(C97&gt;$C$10,0,IF(AND($C$38&gt;0,A97&gt;=$C$38,EOMONTH(A97,0)&lt;=$C$39),E97*(1-$C$40)*(1-F$34),E97*(1-F$34)))+M97</f>
        <v>0</v>
      </c>
      <c r="X97" s="179">
        <f>IF(C97&gt;$C$10,0,IF(AND($C$38&gt;0,A97&gt;=$C$38,EOMONTH(A97,0)&lt;=$C$39),E97*(1-$C$40)*(1-G$34),E97*(1-G$34)))+M97</f>
        <v>0</v>
      </c>
      <c r="Y97" s="178">
        <f>IF(C97&gt;$C$10,0,IF(AND($C$38&gt;0,A97&gt;=$C$38,EOMONTH(A97,0)&lt;=$C$39),E97*(1-$C$40)*(1-H$34),E97*(1-H$34)))+M97</f>
        <v>0</v>
      </c>
      <c r="Z97" s="179">
        <f>IF(C97&gt;$C$10,0,IF(AND($C$38&gt;0,A97&gt;=$C$38,EOMONTH(A97,0)&lt;=$C$39),E97*(1-$C$40)*(1-I$34),E97*(1-I$34)))+M97</f>
        <v>0</v>
      </c>
      <c r="AA97" s="180">
        <f>IF(C97&gt;$C$10,0,IF(AND($C$38&gt;0,A97&gt;=$C$38,EOMONTH(A97,0)&lt;=$C$39),E97*(1-$C$40)*(1-J$34),E97*(1-J$34)))+M97</f>
        <v>0</v>
      </c>
    </row>
    <row r="98" spans="1:27" x14ac:dyDescent="0.25">
      <c r="A98" s="104">
        <f>EDATE($C$8,23)</f>
        <v>700</v>
      </c>
      <c r="B98" s="105">
        <f>EDATE($C$8,24)-1</f>
        <v>730</v>
      </c>
      <c r="C98" s="92">
        <f t="shared" si="10"/>
        <v>24</v>
      </c>
      <c r="D98" s="106">
        <f t="shared" si="0"/>
        <v>2</v>
      </c>
      <c r="E98" s="107">
        <f t="shared" si="1"/>
        <v>0</v>
      </c>
      <c r="F98" s="94">
        <f t="shared" si="11"/>
        <v>0</v>
      </c>
      <c r="G98" s="95">
        <f t="shared" si="12"/>
        <v>0</v>
      </c>
      <c r="H98" s="94">
        <f t="shared" si="2"/>
        <v>0</v>
      </c>
      <c r="I98" s="94">
        <f t="shared" si="3"/>
        <v>0</v>
      </c>
      <c r="J98" s="94">
        <f t="shared" si="4"/>
        <v>0</v>
      </c>
      <c r="K98" s="94">
        <f t="shared" si="5"/>
        <v>0</v>
      </c>
      <c r="L98" s="94">
        <f t="shared" si="6"/>
        <v>0</v>
      </c>
      <c r="M98" s="94">
        <f t="shared" si="7"/>
        <v>0</v>
      </c>
      <c r="N98" s="107">
        <f t="shared" si="8"/>
        <v>0</v>
      </c>
      <c r="O98" s="108">
        <f t="shared" si="9"/>
        <v>0</v>
      </c>
      <c r="P98" s="107">
        <f>MAX(SUM(N98:N198)+S98,0)</f>
        <v>0</v>
      </c>
      <c r="Q98" s="107">
        <f>SUM(F98:F198)</f>
        <v>0</v>
      </c>
      <c r="R98" s="107">
        <f>SUM(M98:M198)</f>
        <v>0</v>
      </c>
      <c r="S98" s="109">
        <f>SUMPRODUCT(($C$55:$C$67)*($D$55:$D$67&gt;=$A98))</f>
        <v>0</v>
      </c>
      <c r="T98" s="150">
        <f>IF(C98&gt;$C$10,0,IF(AND($C$38&gt;0,A98&gt;=$C$38,EOMONTH(A98,0)&lt;=$C$39),E98*(1-$C$40)*(1-G$15),E98*(1-G$15)))+M98</f>
        <v>0</v>
      </c>
      <c r="U98" s="150">
        <f>IF(C98&gt;$C$10,0,IF(AND($C$38&gt;0,A98&gt;=$C$38,EOMONTH(A98,0)&lt;=$C$39),E98*(1-$C$40)*(1-H$15),E98*(1-H$15)))+M98</f>
        <v>0</v>
      </c>
      <c r="V98" s="150">
        <f>IF(C98&gt;$C$10,0,IF(AND($C$38&gt;0,A98&gt;=$C$38,EOMONTH(A98,0)&lt;=$C$39),E98*(1-$C$40)*(1-I$15),E98*(1-I$15)))+M98</f>
        <v>0</v>
      </c>
      <c r="W98" s="181">
        <f>IF(C98&gt;$C$10,0,IF(AND($C$38&gt;0,A98&gt;=$C$38,EOMONTH(A98,0)&lt;=$C$39),E98*(1-$C$40)*(1-F$34),E98*(1-F$34)))+M98</f>
        <v>0</v>
      </c>
      <c r="X98" s="179">
        <f>IF(C98&gt;$C$10,0,IF(AND($C$38&gt;0,A98&gt;=$C$38,EOMONTH(A98,0)&lt;=$C$39),E98*(1-$C$40)*(1-G$34),E98*(1-G$34)))+M98</f>
        <v>0</v>
      </c>
      <c r="Y98" s="178">
        <f>IF(C98&gt;$C$10,0,IF(AND($C$38&gt;0,A98&gt;=$C$38,EOMONTH(A98,0)&lt;=$C$39),E98*(1-$C$40)*(1-H$34),E98*(1-H$34)))+M98</f>
        <v>0</v>
      </c>
      <c r="Z98" s="179">
        <f>IF(C98&gt;$C$10,0,IF(AND($C$38&gt;0,A98&gt;=$C$38,EOMONTH(A98,0)&lt;=$C$39),E98*(1-$C$40)*(1-I$34),E98*(1-I$34)))+M98</f>
        <v>0</v>
      </c>
      <c r="AA98" s="180">
        <f>IF(C98&gt;$C$10,0,IF(AND($C$38&gt;0,A98&gt;=$C$38,EOMONTH(A98,0)&lt;=$C$39),E98*(1-$C$40)*(1-J$34),E98*(1-J$34)))+M98</f>
        <v>0</v>
      </c>
    </row>
    <row r="99" spans="1:27" x14ac:dyDescent="0.25">
      <c r="A99" s="98">
        <f>EDATE($C$8,24)</f>
        <v>731</v>
      </c>
      <c r="B99" s="99">
        <f>EDATE($C$8,25)-1</f>
        <v>761</v>
      </c>
      <c r="C99" s="92">
        <f t="shared" si="10"/>
        <v>25</v>
      </c>
      <c r="D99" s="100">
        <f t="shared" si="0"/>
        <v>3</v>
      </c>
      <c r="E99" s="101">
        <f t="shared" si="1"/>
        <v>0</v>
      </c>
      <c r="F99" s="94">
        <f t="shared" si="11"/>
        <v>0</v>
      </c>
      <c r="G99" s="95">
        <f t="shared" si="12"/>
        <v>0</v>
      </c>
      <c r="H99" s="94">
        <f t="shared" si="2"/>
        <v>0</v>
      </c>
      <c r="I99" s="94">
        <f t="shared" si="3"/>
        <v>0</v>
      </c>
      <c r="J99" s="94">
        <f t="shared" si="4"/>
        <v>0</v>
      </c>
      <c r="K99" s="94">
        <f t="shared" si="5"/>
        <v>0</v>
      </c>
      <c r="L99" s="94">
        <f t="shared" si="6"/>
        <v>0</v>
      </c>
      <c r="M99" s="94">
        <f t="shared" si="7"/>
        <v>0</v>
      </c>
      <c r="N99" s="101">
        <f t="shared" si="8"/>
        <v>0</v>
      </c>
      <c r="O99" s="102">
        <f t="shared" si="9"/>
        <v>0</v>
      </c>
      <c r="P99" s="101">
        <f>MAX(SUM(N99:N198)+S99,0)</f>
        <v>0</v>
      </c>
      <c r="Q99" s="101">
        <f>SUM(F99:F198)</f>
        <v>0</v>
      </c>
      <c r="R99" s="101">
        <f>SUM(M99:M198)</f>
        <v>0</v>
      </c>
      <c r="S99" s="103">
        <f>SUMPRODUCT(($C$55:$C$67)*($D$55:$D$67&gt;=$A99))</f>
        <v>0</v>
      </c>
      <c r="T99" s="150">
        <f>IF(C99&gt;$C$10,0,IF(AND($C$38&gt;0,A99&gt;=$C$38,EOMONTH(A99,0)&lt;=$C$39),E99*(1-$C$40)*(1-G$15),E99*(1-G$15)))+M99</f>
        <v>0</v>
      </c>
      <c r="U99" s="150">
        <f>IF(C99&gt;$C$10,0,IF(AND($C$38&gt;0,A99&gt;=$C$38,EOMONTH(A99,0)&lt;=$C$39),E99*(1-$C$40)*(1-H$15),E99*(1-H$15)))+M99</f>
        <v>0</v>
      </c>
      <c r="V99" s="150">
        <f>IF(C99&gt;$C$10,0,IF(AND($C$38&gt;0,A99&gt;=$C$38,EOMONTH(A99,0)&lt;=$C$39),E99*(1-$C$40)*(1-I$15),E99*(1-I$15)))+M99</f>
        <v>0</v>
      </c>
      <c r="W99" s="181">
        <f>IF(C99&gt;$C$10,0,IF(AND($C$38&gt;0,A99&gt;=$C$38,EOMONTH(A99,0)&lt;=$C$39),E99*(1-$C$40)*(1-F$34),E99*(1-F$34)))+M99</f>
        <v>0</v>
      </c>
      <c r="X99" s="179">
        <f>IF(C99&gt;$C$10,0,IF(AND($C$38&gt;0,A99&gt;=$C$38,EOMONTH(A99,0)&lt;=$C$39),E99*(1-$C$40)*(1-G$34),E99*(1-G$34)))+M99</f>
        <v>0</v>
      </c>
      <c r="Y99" s="178">
        <f>IF(C99&gt;$C$10,0,IF(AND($C$38&gt;0,A99&gt;=$C$38,EOMONTH(A99,0)&lt;=$C$39),E99*(1-$C$40)*(1-H$34),E99*(1-H$34)))+M99</f>
        <v>0</v>
      </c>
      <c r="Z99" s="179">
        <f>IF(C99&gt;$C$10,0,IF(AND($C$38&gt;0,A99&gt;=$C$38,EOMONTH(A99,0)&lt;=$C$39),E99*(1-$C$40)*(1-I$34),E99*(1-I$34)))+M99</f>
        <v>0</v>
      </c>
      <c r="AA99" s="180">
        <f>IF(C99&gt;$C$10,0,IF(AND($C$38&gt;0,A99&gt;=$C$38,EOMONTH(A99,0)&lt;=$C$39),E99*(1-$C$40)*(1-J$34),E99*(1-J$34)))+M99</f>
        <v>0</v>
      </c>
    </row>
    <row r="100" spans="1:27" x14ac:dyDescent="0.25">
      <c r="A100" s="104">
        <f>EDATE($C$8,25)</f>
        <v>762</v>
      </c>
      <c r="B100" s="105">
        <f>EDATE($C$8,26)-1</f>
        <v>789</v>
      </c>
      <c r="C100" s="92">
        <f t="shared" si="10"/>
        <v>26</v>
      </c>
      <c r="D100" s="106">
        <f t="shared" si="0"/>
        <v>3</v>
      </c>
      <c r="E100" s="107">
        <f t="shared" si="1"/>
        <v>0</v>
      </c>
      <c r="F100" s="94">
        <f t="shared" si="11"/>
        <v>0</v>
      </c>
      <c r="G100" s="95">
        <f t="shared" si="12"/>
        <v>0</v>
      </c>
      <c r="H100" s="94">
        <f t="shared" si="2"/>
        <v>0</v>
      </c>
      <c r="I100" s="94">
        <f t="shared" si="3"/>
        <v>0</v>
      </c>
      <c r="J100" s="94">
        <f t="shared" si="4"/>
        <v>0</v>
      </c>
      <c r="K100" s="94">
        <f t="shared" si="5"/>
        <v>0</v>
      </c>
      <c r="L100" s="94">
        <f t="shared" si="6"/>
        <v>0</v>
      </c>
      <c r="M100" s="94">
        <f t="shared" si="7"/>
        <v>0</v>
      </c>
      <c r="N100" s="107">
        <f t="shared" si="8"/>
        <v>0</v>
      </c>
      <c r="O100" s="108">
        <f t="shared" si="9"/>
        <v>0</v>
      </c>
      <c r="P100" s="107">
        <f>MAX(SUM(N100:N198)+S100,0)</f>
        <v>0</v>
      </c>
      <c r="Q100" s="107">
        <f>SUM(F100:F198)</f>
        <v>0</v>
      </c>
      <c r="R100" s="107">
        <f>SUM(M100:M198)</f>
        <v>0</v>
      </c>
      <c r="S100" s="109">
        <f>SUMPRODUCT(($C$55:$C$67)*($D$55:$D$67&gt;=$A100))</f>
        <v>0</v>
      </c>
      <c r="T100" s="150">
        <f>IF(C100&gt;$C$10,0,IF(AND($C$38&gt;0,A100&gt;=$C$38,EOMONTH(A100,0)&lt;=$C$39),E100*(1-$C$40)*(1-G$15),E100*(1-G$15)))+M100</f>
        <v>0</v>
      </c>
      <c r="U100" s="150">
        <f>IF(C100&gt;$C$10,0,IF(AND($C$38&gt;0,A100&gt;=$C$38,EOMONTH(A100,0)&lt;=$C$39),E100*(1-$C$40)*(1-H$15),E100*(1-H$15)))+M100</f>
        <v>0</v>
      </c>
      <c r="V100" s="150">
        <f>IF(C100&gt;$C$10,0,IF(AND($C$38&gt;0,A100&gt;=$C$38,EOMONTH(A100,0)&lt;=$C$39),E100*(1-$C$40)*(1-I$15),E100*(1-I$15)))+M100</f>
        <v>0</v>
      </c>
      <c r="W100" s="181">
        <f>IF(C100&gt;$C$10,0,IF(AND($C$38&gt;0,A100&gt;=$C$38,EOMONTH(A100,0)&lt;=$C$39),E100*(1-$C$40)*(1-F$34),E100*(1-F$34)))+M100</f>
        <v>0</v>
      </c>
      <c r="X100" s="179">
        <f>IF(C100&gt;$C$10,0,IF(AND($C$38&gt;0,A100&gt;=$C$38,EOMONTH(A100,0)&lt;=$C$39),E100*(1-$C$40)*(1-G$34),E100*(1-G$34)))+M100</f>
        <v>0</v>
      </c>
      <c r="Y100" s="178">
        <f>IF(C100&gt;$C$10,0,IF(AND($C$38&gt;0,A100&gt;=$C$38,EOMONTH(A100,0)&lt;=$C$39),E100*(1-$C$40)*(1-H$34),E100*(1-H$34)))+M100</f>
        <v>0</v>
      </c>
      <c r="Z100" s="179">
        <f>IF(C100&gt;$C$10,0,IF(AND($C$38&gt;0,A100&gt;=$C$38,EOMONTH(A100,0)&lt;=$C$39),E100*(1-$C$40)*(1-I$34),E100*(1-I$34)))+M100</f>
        <v>0</v>
      </c>
      <c r="AA100" s="180">
        <f>IF(C100&gt;$C$10,0,IF(AND($C$38&gt;0,A100&gt;=$C$38,EOMONTH(A100,0)&lt;=$C$39),E100*(1-$C$40)*(1-J$34),E100*(1-J$34)))+M100</f>
        <v>0</v>
      </c>
    </row>
    <row r="101" spans="1:27" x14ac:dyDescent="0.25">
      <c r="A101" s="98">
        <f>EDATE($C$8,26)</f>
        <v>790</v>
      </c>
      <c r="B101" s="99">
        <f>EDATE($C$8,27)-1</f>
        <v>820</v>
      </c>
      <c r="C101" s="92">
        <f t="shared" si="10"/>
        <v>27</v>
      </c>
      <c r="D101" s="100">
        <f t="shared" si="0"/>
        <v>3</v>
      </c>
      <c r="E101" s="101">
        <f t="shared" si="1"/>
        <v>0</v>
      </c>
      <c r="F101" s="94">
        <f t="shared" si="11"/>
        <v>0</v>
      </c>
      <c r="G101" s="95">
        <f t="shared" si="12"/>
        <v>0</v>
      </c>
      <c r="H101" s="94">
        <f t="shared" si="2"/>
        <v>0</v>
      </c>
      <c r="I101" s="94">
        <f t="shared" si="3"/>
        <v>0</v>
      </c>
      <c r="J101" s="94">
        <f t="shared" si="4"/>
        <v>0</v>
      </c>
      <c r="K101" s="94">
        <f t="shared" si="5"/>
        <v>0</v>
      </c>
      <c r="L101" s="94">
        <f t="shared" si="6"/>
        <v>0</v>
      </c>
      <c r="M101" s="94">
        <f t="shared" si="7"/>
        <v>0</v>
      </c>
      <c r="N101" s="101">
        <f t="shared" si="8"/>
        <v>0</v>
      </c>
      <c r="O101" s="102">
        <f t="shared" si="9"/>
        <v>0</v>
      </c>
      <c r="P101" s="101">
        <f>MAX(SUM(N101:N198)+S101,0)</f>
        <v>0</v>
      </c>
      <c r="Q101" s="101">
        <f>SUM(F101:F198)</f>
        <v>0</v>
      </c>
      <c r="R101" s="101">
        <f>SUM(M101:M198)</f>
        <v>0</v>
      </c>
      <c r="S101" s="103">
        <f>SUMPRODUCT(($C$55:$C$67)*($D$55:$D$67&gt;=$A101))</f>
        <v>0</v>
      </c>
      <c r="T101" s="150">
        <f>IF(C101&gt;$C$10,0,IF(AND($C$38&gt;0,A101&gt;=$C$38,EOMONTH(A101,0)&lt;=$C$39),E101*(1-$C$40)*(1-G$15),E101*(1-G$15)))+M101</f>
        <v>0</v>
      </c>
      <c r="U101" s="150">
        <f>IF(C101&gt;$C$10,0,IF(AND($C$38&gt;0,A101&gt;=$C$38,EOMONTH(A101,0)&lt;=$C$39),E101*(1-$C$40)*(1-H$15),E101*(1-H$15)))+M101</f>
        <v>0</v>
      </c>
      <c r="V101" s="150">
        <f>IF(C101&gt;$C$10,0,IF(AND($C$38&gt;0,A101&gt;=$C$38,EOMONTH(A101,0)&lt;=$C$39),E101*(1-$C$40)*(1-I$15),E101*(1-I$15)))+M101</f>
        <v>0</v>
      </c>
      <c r="W101" s="181">
        <f>IF(C101&gt;$C$10,0,IF(AND($C$38&gt;0,A101&gt;=$C$38,EOMONTH(A101,0)&lt;=$C$39),E101*(1-$C$40)*(1-F$34),E101*(1-F$34)))+M101</f>
        <v>0</v>
      </c>
      <c r="X101" s="179">
        <f>IF(C101&gt;$C$10,0,IF(AND($C$38&gt;0,A101&gt;=$C$38,EOMONTH(A101,0)&lt;=$C$39),E101*(1-$C$40)*(1-G$34),E101*(1-G$34)))+M101</f>
        <v>0</v>
      </c>
      <c r="Y101" s="178">
        <f>IF(C101&gt;$C$10,0,IF(AND($C$38&gt;0,A101&gt;=$C$38,EOMONTH(A101,0)&lt;=$C$39),E101*(1-$C$40)*(1-H$34),E101*(1-H$34)))+M101</f>
        <v>0</v>
      </c>
      <c r="Z101" s="179">
        <f>IF(C101&gt;$C$10,0,IF(AND($C$38&gt;0,A101&gt;=$C$38,EOMONTH(A101,0)&lt;=$C$39),E101*(1-$C$40)*(1-I$34),E101*(1-I$34)))+M101</f>
        <v>0</v>
      </c>
      <c r="AA101" s="180">
        <f>IF(C101&gt;$C$10,0,IF(AND($C$38&gt;0,A101&gt;=$C$38,EOMONTH(A101,0)&lt;=$C$39),E101*(1-$C$40)*(1-J$34),E101*(1-J$34)))+M101</f>
        <v>0</v>
      </c>
    </row>
    <row r="102" spans="1:27" x14ac:dyDescent="0.25">
      <c r="A102" s="104">
        <f>EDATE($C$8,27)</f>
        <v>821</v>
      </c>
      <c r="B102" s="105">
        <f>EDATE($C$8,28)-1</f>
        <v>850</v>
      </c>
      <c r="C102" s="92">
        <f t="shared" si="10"/>
        <v>28</v>
      </c>
      <c r="D102" s="106">
        <f t="shared" si="0"/>
        <v>3</v>
      </c>
      <c r="E102" s="107">
        <f t="shared" si="1"/>
        <v>0</v>
      </c>
      <c r="F102" s="94">
        <f t="shared" si="11"/>
        <v>0</v>
      </c>
      <c r="G102" s="95">
        <f t="shared" si="12"/>
        <v>0</v>
      </c>
      <c r="H102" s="94">
        <f t="shared" si="2"/>
        <v>0</v>
      </c>
      <c r="I102" s="94">
        <f t="shared" si="3"/>
        <v>0</v>
      </c>
      <c r="J102" s="94">
        <f t="shared" si="4"/>
        <v>0</v>
      </c>
      <c r="K102" s="94">
        <f t="shared" si="5"/>
        <v>0</v>
      </c>
      <c r="L102" s="94">
        <f t="shared" si="6"/>
        <v>0</v>
      </c>
      <c r="M102" s="94">
        <f t="shared" si="7"/>
        <v>0</v>
      </c>
      <c r="N102" s="107">
        <f t="shared" si="8"/>
        <v>0</v>
      </c>
      <c r="O102" s="108">
        <f t="shared" si="9"/>
        <v>0</v>
      </c>
      <c r="P102" s="107">
        <f>MAX(SUM(N102:N198)+S102,0)</f>
        <v>0</v>
      </c>
      <c r="Q102" s="107">
        <f>SUM(F102:F198)</f>
        <v>0</v>
      </c>
      <c r="R102" s="107">
        <f>SUM(M102:M198)</f>
        <v>0</v>
      </c>
      <c r="S102" s="109">
        <f>SUMPRODUCT(($C$55:$C$67)*($D$55:$D$67&gt;=$A102))</f>
        <v>0</v>
      </c>
      <c r="T102" s="150">
        <f>IF(C102&gt;$C$10,0,IF(AND($C$38&gt;0,A102&gt;=$C$38,EOMONTH(A102,0)&lt;=$C$39),E102*(1-$C$40)*(1-G$15),E102*(1-G$15)))+M102</f>
        <v>0</v>
      </c>
      <c r="U102" s="150">
        <f>IF(C102&gt;$C$10,0,IF(AND($C$38&gt;0,A102&gt;=$C$38,EOMONTH(A102,0)&lt;=$C$39),E102*(1-$C$40)*(1-H$15),E102*(1-H$15)))+M102</f>
        <v>0</v>
      </c>
      <c r="V102" s="150">
        <f>IF(C102&gt;$C$10,0,IF(AND($C$38&gt;0,A102&gt;=$C$38,EOMONTH(A102,0)&lt;=$C$39),E102*(1-$C$40)*(1-I$15),E102*(1-I$15)))+M102</f>
        <v>0</v>
      </c>
      <c r="W102" s="181">
        <f>IF(C102&gt;$C$10,0,IF(AND($C$38&gt;0,A102&gt;=$C$38,EOMONTH(A102,0)&lt;=$C$39),E102*(1-$C$40)*(1-F$34),E102*(1-F$34)))+M102</f>
        <v>0</v>
      </c>
      <c r="X102" s="179">
        <f>IF(C102&gt;$C$10,0,IF(AND($C$38&gt;0,A102&gt;=$C$38,EOMONTH(A102,0)&lt;=$C$39),E102*(1-$C$40)*(1-G$34),E102*(1-G$34)))+M102</f>
        <v>0</v>
      </c>
      <c r="Y102" s="178">
        <f>IF(C102&gt;$C$10,0,IF(AND($C$38&gt;0,A102&gt;=$C$38,EOMONTH(A102,0)&lt;=$C$39),E102*(1-$C$40)*(1-H$34),E102*(1-H$34)))+M102</f>
        <v>0</v>
      </c>
      <c r="Z102" s="179">
        <f>IF(C102&gt;$C$10,0,IF(AND($C$38&gt;0,A102&gt;=$C$38,EOMONTH(A102,0)&lt;=$C$39),E102*(1-$C$40)*(1-I$34),E102*(1-I$34)))+M102</f>
        <v>0</v>
      </c>
      <c r="AA102" s="180">
        <f>IF(C102&gt;$C$10,0,IF(AND($C$38&gt;0,A102&gt;=$C$38,EOMONTH(A102,0)&lt;=$C$39),E102*(1-$C$40)*(1-J$34),E102*(1-J$34)))+M102</f>
        <v>0</v>
      </c>
    </row>
    <row r="103" spans="1:27" x14ac:dyDescent="0.25">
      <c r="A103" s="98">
        <f>EDATE($C$8,28)</f>
        <v>851</v>
      </c>
      <c r="B103" s="99">
        <f>EDATE($C$8,29)-1</f>
        <v>881</v>
      </c>
      <c r="C103" s="92">
        <f t="shared" si="10"/>
        <v>29</v>
      </c>
      <c r="D103" s="100">
        <f t="shared" si="0"/>
        <v>3</v>
      </c>
      <c r="E103" s="101">
        <f t="shared" si="1"/>
        <v>0</v>
      </c>
      <c r="F103" s="94">
        <f t="shared" si="11"/>
        <v>0</v>
      </c>
      <c r="G103" s="95">
        <f t="shared" si="12"/>
        <v>0</v>
      </c>
      <c r="H103" s="94">
        <f t="shared" si="2"/>
        <v>0</v>
      </c>
      <c r="I103" s="94">
        <f t="shared" si="3"/>
        <v>0</v>
      </c>
      <c r="J103" s="94">
        <f t="shared" si="4"/>
        <v>0</v>
      </c>
      <c r="K103" s="94">
        <f t="shared" si="5"/>
        <v>0</v>
      </c>
      <c r="L103" s="94">
        <f t="shared" si="6"/>
        <v>0</v>
      </c>
      <c r="M103" s="94">
        <f t="shared" si="7"/>
        <v>0</v>
      </c>
      <c r="N103" s="101">
        <f t="shared" si="8"/>
        <v>0</v>
      </c>
      <c r="O103" s="102">
        <f t="shared" si="9"/>
        <v>0</v>
      </c>
      <c r="P103" s="101">
        <f>MAX(SUM(N103:N198)+S103,0)</f>
        <v>0</v>
      </c>
      <c r="Q103" s="101">
        <f>SUM(F103:F198)</f>
        <v>0</v>
      </c>
      <c r="R103" s="101">
        <f>SUM(M103:M198)</f>
        <v>0</v>
      </c>
      <c r="S103" s="103">
        <f>SUMPRODUCT(($C$55:$C$67)*($D$55:$D$67&gt;=$A103))</f>
        <v>0</v>
      </c>
      <c r="T103" s="150">
        <f>IF(C103&gt;$C$10,0,IF(AND($C$38&gt;0,A103&gt;=$C$38,EOMONTH(A103,0)&lt;=$C$39),E103*(1-$C$40)*(1-G$15),E103*(1-G$15)))+M103</f>
        <v>0</v>
      </c>
      <c r="U103" s="150">
        <f>IF(C103&gt;$C$10,0,IF(AND($C$38&gt;0,A103&gt;=$C$38,EOMONTH(A103,0)&lt;=$C$39),E103*(1-$C$40)*(1-H$15),E103*(1-H$15)))+M103</f>
        <v>0</v>
      </c>
      <c r="V103" s="150">
        <f>IF(C103&gt;$C$10,0,IF(AND($C$38&gt;0,A103&gt;=$C$38,EOMONTH(A103,0)&lt;=$C$39),E103*(1-$C$40)*(1-I$15),E103*(1-I$15)))+M103</f>
        <v>0</v>
      </c>
      <c r="W103" s="181">
        <f>IF(C103&gt;$C$10,0,IF(AND($C$38&gt;0,A103&gt;=$C$38,EOMONTH(A103,0)&lt;=$C$39),E103*(1-$C$40)*(1-F$34),E103*(1-F$34)))+M103</f>
        <v>0</v>
      </c>
      <c r="X103" s="179">
        <f>IF(C103&gt;$C$10,0,IF(AND($C$38&gt;0,A103&gt;=$C$38,EOMONTH(A103,0)&lt;=$C$39),E103*(1-$C$40)*(1-G$34),E103*(1-G$34)))+M103</f>
        <v>0</v>
      </c>
      <c r="Y103" s="178">
        <f>IF(C103&gt;$C$10,0,IF(AND($C$38&gt;0,A103&gt;=$C$38,EOMONTH(A103,0)&lt;=$C$39),E103*(1-$C$40)*(1-H$34),E103*(1-H$34)))+M103</f>
        <v>0</v>
      </c>
      <c r="Z103" s="179">
        <f>IF(C103&gt;$C$10,0,IF(AND($C$38&gt;0,A103&gt;=$C$38,EOMONTH(A103,0)&lt;=$C$39),E103*(1-$C$40)*(1-I$34),E103*(1-I$34)))+M103</f>
        <v>0</v>
      </c>
      <c r="AA103" s="180">
        <f>IF(C103&gt;$C$10,0,IF(AND($C$38&gt;0,A103&gt;=$C$38,EOMONTH(A103,0)&lt;=$C$39),E103*(1-$C$40)*(1-J$34),E103*(1-J$34)))+M103</f>
        <v>0</v>
      </c>
    </row>
    <row r="104" spans="1:27" x14ac:dyDescent="0.25">
      <c r="A104" s="104">
        <f>EDATE($C$8,29)</f>
        <v>882</v>
      </c>
      <c r="B104" s="105">
        <f>EDATE($C$8,30)-1</f>
        <v>911</v>
      </c>
      <c r="C104" s="92">
        <f t="shared" si="10"/>
        <v>30</v>
      </c>
      <c r="D104" s="106">
        <f t="shared" si="0"/>
        <v>3</v>
      </c>
      <c r="E104" s="107">
        <f t="shared" si="1"/>
        <v>0</v>
      </c>
      <c r="F104" s="94">
        <f t="shared" si="11"/>
        <v>0</v>
      </c>
      <c r="G104" s="95">
        <f t="shared" si="12"/>
        <v>0</v>
      </c>
      <c r="H104" s="94">
        <f t="shared" si="2"/>
        <v>0</v>
      </c>
      <c r="I104" s="94">
        <f t="shared" si="3"/>
        <v>0</v>
      </c>
      <c r="J104" s="94">
        <f t="shared" si="4"/>
        <v>0</v>
      </c>
      <c r="K104" s="94">
        <f t="shared" si="5"/>
        <v>0</v>
      </c>
      <c r="L104" s="94">
        <f t="shared" si="6"/>
        <v>0</v>
      </c>
      <c r="M104" s="94">
        <f t="shared" si="7"/>
        <v>0</v>
      </c>
      <c r="N104" s="107">
        <f t="shared" si="8"/>
        <v>0</v>
      </c>
      <c r="O104" s="108">
        <f t="shared" si="9"/>
        <v>0</v>
      </c>
      <c r="P104" s="107">
        <f>MAX(SUM(N104:N198)+S104,0)</f>
        <v>0</v>
      </c>
      <c r="Q104" s="107">
        <f>SUM(F104:F198)</f>
        <v>0</v>
      </c>
      <c r="R104" s="107">
        <f>SUM(M104:M198)</f>
        <v>0</v>
      </c>
      <c r="S104" s="109">
        <f>SUMPRODUCT(($C$55:$C$67)*($D$55:$D$67&gt;=$A104))</f>
        <v>0</v>
      </c>
      <c r="T104" s="150">
        <f>IF(C104&gt;$C$10,0,IF(AND($C$38&gt;0,A104&gt;=$C$38,EOMONTH(A104,0)&lt;=$C$39),E104*(1-$C$40)*(1-G$15),E104*(1-G$15)))+M104</f>
        <v>0</v>
      </c>
      <c r="U104" s="150">
        <f>IF(C104&gt;$C$10,0,IF(AND($C$38&gt;0,A104&gt;=$C$38,EOMONTH(A104,0)&lt;=$C$39),E104*(1-$C$40)*(1-H$15),E104*(1-H$15)))+M104</f>
        <v>0</v>
      </c>
      <c r="V104" s="150">
        <f>IF(C104&gt;$C$10,0,IF(AND($C$38&gt;0,A104&gt;=$C$38,EOMONTH(A104,0)&lt;=$C$39),E104*(1-$C$40)*(1-I$15),E104*(1-I$15)))+M104</f>
        <v>0</v>
      </c>
      <c r="W104" s="181">
        <f>IF(C104&gt;$C$10,0,IF(AND($C$38&gt;0,A104&gt;=$C$38,EOMONTH(A104,0)&lt;=$C$39),E104*(1-$C$40)*(1-F$34),E104*(1-F$34)))+M104</f>
        <v>0</v>
      </c>
      <c r="X104" s="179">
        <f>IF(C104&gt;$C$10,0,IF(AND($C$38&gt;0,A104&gt;=$C$38,EOMONTH(A104,0)&lt;=$C$39),E104*(1-$C$40)*(1-G$34),E104*(1-G$34)))+M104</f>
        <v>0</v>
      </c>
      <c r="Y104" s="178">
        <f>IF(C104&gt;$C$10,0,IF(AND($C$38&gt;0,A104&gt;=$C$38,EOMONTH(A104,0)&lt;=$C$39),E104*(1-$C$40)*(1-H$34),E104*(1-H$34)))+M104</f>
        <v>0</v>
      </c>
      <c r="Z104" s="179">
        <f>IF(C104&gt;$C$10,0,IF(AND($C$38&gt;0,A104&gt;=$C$38,EOMONTH(A104,0)&lt;=$C$39),E104*(1-$C$40)*(1-I$34),E104*(1-I$34)))+M104</f>
        <v>0</v>
      </c>
      <c r="AA104" s="180">
        <f>IF(C104&gt;$C$10,0,IF(AND($C$38&gt;0,A104&gt;=$C$38,EOMONTH(A104,0)&lt;=$C$39),E104*(1-$C$40)*(1-J$34),E104*(1-J$34)))+M104</f>
        <v>0</v>
      </c>
    </row>
    <row r="105" spans="1:27" x14ac:dyDescent="0.25">
      <c r="A105" s="98">
        <f>EDATE($C$8,30)</f>
        <v>912</v>
      </c>
      <c r="B105" s="99">
        <f>EDATE($C$8,31)-1</f>
        <v>942</v>
      </c>
      <c r="C105" s="92">
        <f t="shared" si="10"/>
        <v>31</v>
      </c>
      <c r="D105" s="100">
        <f t="shared" si="0"/>
        <v>3</v>
      </c>
      <c r="E105" s="101">
        <f t="shared" si="1"/>
        <v>0</v>
      </c>
      <c r="F105" s="94">
        <f t="shared" si="11"/>
        <v>0</v>
      </c>
      <c r="G105" s="95">
        <f t="shared" si="12"/>
        <v>0</v>
      </c>
      <c r="H105" s="94">
        <f t="shared" si="2"/>
        <v>0</v>
      </c>
      <c r="I105" s="94">
        <f t="shared" si="3"/>
        <v>0</v>
      </c>
      <c r="J105" s="94">
        <f t="shared" si="4"/>
        <v>0</v>
      </c>
      <c r="K105" s="94">
        <f t="shared" si="5"/>
        <v>0</v>
      </c>
      <c r="L105" s="94">
        <f t="shared" si="6"/>
        <v>0</v>
      </c>
      <c r="M105" s="94">
        <f t="shared" si="7"/>
        <v>0</v>
      </c>
      <c r="N105" s="101">
        <f t="shared" si="8"/>
        <v>0</v>
      </c>
      <c r="O105" s="102">
        <f t="shared" si="9"/>
        <v>0</v>
      </c>
      <c r="P105" s="101">
        <f>MAX(SUM(N105:N198)+S105,0)</f>
        <v>0</v>
      </c>
      <c r="Q105" s="101">
        <f>SUM(F105:F198)</f>
        <v>0</v>
      </c>
      <c r="R105" s="101">
        <f>SUM(M105:M198)</f>
        <v>0</v>
      </c>
      <c r="S105" s="103">
        <f>SUMPRODUCT(($C$55:$C$67)*($D$55:$D$67&gt;=$A105))</f>
        <v>0</v>
      </c>
      <c r="T105" s="150">
        <f>IF(C105&gt;$C$10,0,IF(AND($C$38&gt;0,A105&gt;=$C$38,EOMONTH(A105,0)&lt;=$C$39),E105*(1-$C$40)*(1-G$15),E105*(1-G$15)))+M105</f>
        <v>0</v>
      </c>
      <c r="U105" s="150">
        <f>IF(C105&gt;$C$10,0,IF(AND($C$38&gt;0,A105&gt;=$C$38,EOMONTH(A105,0)&lt;=$C$39),E105*(1-$C$40)*(1-H$15),E105*(1-H$15)))+M105</f>
        <v>0</v>
      </c>
      <c r="V105" s="150">
        <f>IF(C105&gt;$C$10,0,IF(AND($C$38&gt;0,A105&gt;=$C$38,EOMONTH(A105,0)&lt;=$C$39),E105*(1-$C$40)*(1-I$15),E105*(1-I$15)))+M105</f>
        <v>0</v>
      </c>
      <c r="W105" s="181">
        <f>IF(C105&gt;$C$10,0,IF(AND($C$38&gt;0,A105&gt;=$C$38,EOMONTH(A105,0)&lt;=$C$39),E105*(1-$C$40)*(1-F$34),E105*(1-F$34)))+M105</f>
        <v>0</v>
      </c>
      <c r="X105" s="179">
        <f>IF(C105&gt;$C$10,0,IF(AND($C$38&gt;0,A105&gt;=$C$38,EOMONTH(A105,0)&lt;=$C$39),E105*(1-$C$40)*(1-G$34),E105*(1-G$34)))+M105</f>
        <v>0</v>
      </c>
      <c r="Y105" s="178">
        <f>IF(C105&gt;$C$10,0,IF(AND($C$38&gt;0,A105&gt;=$C$38,EOMONTH(A105,0)&lt;=$C$39),E105*(1-$C$40)*(1-H$34),E105*(1-H$34)))+M105</f>
        <v>0</v>
      </c>
      <c r="Z105" s="179">
        <f>IF(C105&gt;$C$10,0,IF(AND($C$38&gt;0,A105&gt;=$C$38,EOMONTH(A105,0)&lt;=$C$39),E105*(1-$C$40)*(1-I$34),E105*(1-I$34)))+M105</f>
        <v>0</v>
      </c>
      <c r="AA105" s="180">
        <f>IF(C105&gt;$C$10,0,IF(AND($C$38&gt;0,A105&gt;=$C$38,EOMONTH(A105,0)&lt;=$C$39),E105*(1-$C$40)*(1-J$34),E105*(1-J$34)))+M105</f>
        <v>0</v>
      </c>
    </row>
    <row r="106" spans="1:27" x14ac:dyDescent="0.25">
      <c r="A106" s="104">
        <f>EDATE($C$8,31)</f>
        <v>943</v>
      </c>
      <c r="B106" s="105">
        <f>EDATE($C$8,32)-1</f>
        <v>973</v>
      </c>
      <c r="C106" s="92">
        <f t="shared" si="10"/>
        <v>32</v>
      </c>
      <c r="D106" s="106">
        <f t="shared" si="0"/>
        <v>3</v>
      </c>
      <c r="E106" s="107">
        <f t="shared" si="1"/>
        <v>0</v>
      </c>
      <c r="F106" s="94">
        <f t="shared" si="11"/>
        <v>0</v>
      </c>
      <c r="G106" s="95">
        <f t="shared" si="12"/>
        <v>0</v>
      </c>
      <c r="H106" s="94">
        <f t="shared" si="2"/>
        <v>0</v>
      </c>
      <c r="I106" s="94">
        <f t="shared" si="3"/>
        <v>0</v>
      </c>
      <c r="J106" s="94">
        <f t="shared" si="4"/>
        <v>0</v>
      </c>
      <c r="K106" s="94">
        <f t="shared" si="5"/>
        <v>0</v>
      </c>
      <c r="L106" s="94">
        <f t="shared" si="6"/>
        <v>0</v>
      </c>
      <c r="M106" s="94">
        <f t="shared" si="7"/>
        <v>0</v>
      </c>
      <c r="N106" s="107">
        <f t="shared" si="8"/>
        <v>0</v>
      </c>
      <c r="O106" s="108">
        <f t="shared" si="9"/>
        <v>0</v>
      </c>
      <c r="P106" s="107">
        <f>MAX(SUM(N106:N198)+S106,0)</f>
        <v>0</v>
      </c>
      <c r="Q106" s="107">
        <f>SUM(F106:F198)</f>
        <v>0</v>
      </c>
      <c r="R106" s="107">
        <f>SUM(M106:M198)</f>
        <v>0</v>
      </c>
      <c r="S106" s="109">
        <f>SUMPRODUCT(($C$55:$C$67)*($D$55:$D$67&gt;=$A106))</f>
        <v>0</v>
      </c>
      <c r="T106" s="150">
        <f>IF(C106&gt;$C$10,0,IF(AND($C$38&gt;0,A106&gt;=$C$38,EOMONTH(A106,0)&lt;=$C$39),E106*(1-$C$40)*(1-G$15),E106*(1-G$15)))+M106</f>
        <v>0</v>
      </c>
      <c r="U106" s="150">
        <f>IF(C106&gt;$C$10,0,IF(AND($C$38&gt;0,A106&gt;=$C$38,EOMONTH(A106,0)&lt;=$C$39),E106*(1-$C$40)*(1-H$15),E106*(1-H$15)))+M106</f>
        <v>0</v>
      </c>
      <c r="V106" s="150">
        <f>IF(C106&gt;$C$10,0,IF(AND($C$38&gt;0,A106&gt;=$C$38,EOMONTH(A106,0)&lt;=$C$39),E106*(1-$C$40)*(1-I$15),E106*(1-I$15)))+M106</f>
        <v>0</v>
      </c>
      <c r="W106" s="181">
        <f>IF(C106&gt;$C$10,0,IF(AND($C$38&gt;0,A106&gt;=$C$38,EOMONTH(A106,0)&lt;=$C$39),E106*(1-$C$40)*(1-F$34),E106*(1-F$34)))+M106</f>
        <v>0</v>
      </c>
      <c r="X106" s="179">
        <f>IF(C106&gt;$C$10,0,IF(AND($C$38&gt;0,A106&gt;=$C$38,EOMONTH(A106,0)&lt;=$C$39),E106*(1-$C$40)*(1-G$34),E106*(1-G$34)))+M106</f>
        <v>0</v>
      </c>
      <c r="Y106" s="178">
        <f>IF(C106&gt;$C$10,0,IF(AND($C$38&gt;0,A106&gt;=$C$38,EOMONTH(A106,0)&lt;=$C$39),E106*(1-$C$40)*(1-H$34),E106*(1-H$34)))+M106</f>
        <v>0</v>
      </c>
      <c r="Z106" s="179">
        <f>IF(C106&gt;$C$10,0,IF(AND($C$38&gt;0,A106&gt;=$C$38,EOMONTH(A106,0)&lt;=$C$39),E106*(1-$C$40)*(1-I$34),E106*(1-I$34)))+M106</f>
        <v>0</v>
      </c>
      <c r="AA106" s="180">
        <f>IF(C106&gt;$C$10,0,IF(AND($C$38&gt;0,A106&gt;=$C$38,EOMONTH(A106,0)&lt;=$C$39),E106*(1-$C$40)*(1-J$34),E106*(1-J$34)))+M106</f>
        <v>0</v>
      </c>
    </row>
    <row r="107" spans="1:27" x14ac:dyDescent="0.25">
      <c r="A107" s="98">
        <f>EDATE($C$8,32)</f>
        <v>974</v>
      </c>
      <c r="B107" s="99">
        <f>EDATE($C$8,33)-1</f>
        <v>1003</v>
      </c>
      <c r="C107" s="92">
        <f t="shared" si="10"/>
        <v>33</v>
      </c>
      <c r="D107" s="100">
        <f t="shared" si="0"/>
        <v>3</v>
      </c>
      <c r="E107" s="101">
        <f t="shared" si="1"/>
        <v>0</v>
      </c>
      <c r="F107" s="94">
        <f t="shared" si="11"/>
        <v>0</v>
      </c>
      <c r="G107" s="95">
        <f t="shared" si="12"/>
        <v>0</v>
      </c>
      <c r="H107" s="94">
        <f t="shared" si="2"/>
        <v>0</v>
      </c>
      <c r="I107" s="94">
        <f t="shared" si="3"/>
        <v>0</v>
      </c>
      <c r="J107" s="94">
        <f t="shared" si="4"/>
        <v>0</v>
      </c>
      <c r="K107" s="94">
        <f t="shared" si="5"/>
        <v>0</v>
      </c>
      <c r="L107" s="94">
        <f t="shared" si="6"/>
        <v>0</v>
      </c>
      <c r="M107" s="94">
        <f t="shared" si="7"/>
        <v>0</v>
      </c>
      <c r="N107" s="101">
        <f t="shared" si="8"/>
        <v>0</v>
      </c>
      <c r="O107" s="102">
        <f t="shared" si="9"/>
        <v>0</v>
      </c>
      <c r="P107" s="101">
        <f>MAX(SUM(N107:N198)+S107,0)</f>
        <v>0</v>
      </c>
      <c r="Q107" s="101">
        <f>SUM(F107:F198)</f>
        <v>0</v>
      </c>
      <c r="R107" s="101">
        <f>SUM(M107:M198)</f>
        <v>0</v>
      </c>
      <c r="S107" s="103">
        <f>SUMPRODUCT(($C$55:$C$67)*($D$55:$D$67&gt;=$A107))</f>
        <v>0</v>
      </c>
      <c r="T107" s="150">
        <f>IF(C107&gt;$C$10,0,IF(AND($C$38&gt;0,A107&gt;=$C$38,EOMONTH(A107,0)&lt;=$C$39),E107*(1-$C$40)*(1-G$15),E107*(1-G$15)))+M107</f>
        <v>0</v>
      </c>
      <c r="U107" s="150">
        <f>IF(C107&gt;$C$10,0,IF(AND($C$38&gt;0,A107&gt;=$C$38,EOMONTH(A107,0)&lt;=$C$39),E107*(1-$C$40)*(1-H$15),E107*(1-H$15)))+M107</f>
        <v>0</v>
      </c>
      <c r="V107" s="150">
        <f>IF(C107&gt;$C$10,0,IF(AND($C$38&gt;0,A107&gt;=$C$38,EOMONTH(A107,0)&lt;=$C$39),E107*(1-$C$40)*(1-I$15),E107*(1-I$15)))+M107</f>
        <v>0</v>
      </c>
      <c r="W107" s="181">
        <f>IF(C107&gt;$C$10,0,IF(AND($C$38&gt;0,A107&gt;=$C$38,EOMONTH(A107,0)&lt;=$C$39),E107*(1-$C$40)*(1-F$34),E107*(1-F$34)))+M107</f>
        <v>0</v>
      </c>
      <c r="X107" s="179">
        <f>IF(C107&gt;$C$10,0,IF(AND($C$38&gt;0,A107&gt;=$C$38,EOMONTH(A107,0)&lt;=$C$39),E107*(1-$C$40)*(1-G$34),E107*(1-G$34)))+M107</f>
        <v>0</v>
      </c>
      <c r="Y107" s="178">
        <f>IF(C107&gt;$C$10,0,IF(AND($C$38&gt;0,A107&gt;=$C$38,EOMONTH(A107,0)&lt;=$C$39),E107*(1-$C$40)*(1-H$34),E107*(1-H$34)))+M107</f>
        <v>0</v>
      </c>
      <c r="Z107" s="179">
        <f>IF(C107&gt;$C$10,0,IF(AND($C$38&gt;0,A107&gt;=$C$38,EOMONTH(A107,0)&lt;=$C$39),E107*(1-$C$40)*(1-I$34),E107*(1-I$34)))+M107</f>
        <v>0</v>
      </c>
      <c r="AA107" s="180">
        <f>IF(C107&gt;$C$10,0,IF(AND($C$38&gt;0,A107&gt;=$C$38,EOMONTH(A107,0)&lt;=$C$39),E107*(1-$C$40)*(1-J$34),E107*(1-J$34)))+M107</f>
        <v>0</v>
      </c>
    </row>
    <row r="108" spans="1:27" x14ac:dyDescent="0.25">
      <c r="A108" s="104">
        <f>EDATE($C$8,33)</f>
        <v>1004</v>
      </c>
      <c r="B108" s="105">
        <f>EDATE($C$8,34)-1</f>
        <v>1034</v>
      </c>
      <c r="C108" s="92">
        <f t="shared" si="10"/>
        <v>34</v>
      </c>
      <c r="D108" s="106">
        <f t="shared" si="0"/>
        <v>3</v>
      </c>
      <c r="E108" s="107">
        <f t="shared" si="1"/>
        <v>0</v>
      </c>
      <c r="F108" s="94">
        <f t="shared" si="11"/>
        <v>0</v>
      </c>
      <c r="G108" s="95">
        <f t="shared" si="12"/>
        <v>0</v>
      </c>
      <c r="H108" s="94">
        <f t="shared" si="2"/>
        <v>0</v>
      </c>
      <c r="I108" s="94">
        <f t="shared" si="3"/>
        <v>0</v>
      </c>
      <c r="J108" s="94">
        <f t="shared" si="4"/>
        <v>0</v>
      </c>
      <c r="K108" s="94">
        <f t="shared" si="5"/>
        <v>0</v>
      </c>
      <c r="L108" s="94">
        <f t="shared" si="6"/>
        <v>0</v>
      </c>
      <c r="M108" s="94">
        <f t="shared" si="7"/>
        <v>0</v>
      </c>
      <c r="N108" s="107">
        <f t="shared" si="8"/>
        <v>0</v>
      </c>
      <c r="O108" s="108">
        <f t="shared" si="9"/>
        <v>0</v>
      </c>
      <c r="P108" s="107">
        <f>MAX(SUM(N108:N198)+S108,0)</f>
        <v>0</v>
      </c>
      <c r="Q108" s="107">
        <f>SUM(F108:F198)</f>
        <v>0</v>
      </c>
      <c r="R108" s="107">
        <f>SUM(M108:M198)</f>
        <v>0</v>
      </c>
      <c r="S108" s="109">
        <f>SUMPRODUCT(($C$55:$C$67)*($D$55:$D$67&gt;=$A108))</f>
        <v>0</v>
      </c>
      <c r="T108" s="150">
        <f>IF(C108&gt;$C$10,0,IF(AND($C$38&gt;0,A108&gt;=$C$38,EOMONTH(A108,0)&lt;=$C$39),E108*(1-$C$40)*(1-G$15),E108*(1-G$15)))+M108</f>
        <v>0</v>
      </c>
      <c r="U108" s="150">
        <f>IF(C108&gt;$C$10,0,IF(AND($C$38&gt;0,A108&gt;=$C$38,EOMONTH(A108,0)&lt;=$C$39),E108*(1-$C$40)*(1-H$15),E108*(1-H$15)))+M108</f>
        <v>0</v>
      </c>
      <c r="V108" s="150">
        <f>IF(C108&gt;$C$10,0,IF(AND($C$38&gt;0,A108&gt;=$C$38,EOMONTH(A108,0)&lt;=$C$39),E108*(1-$C$40)*(1-I$15),E108*(1-I$15)))+M108</f>
        <v>0</v>
      </c>
      <c r="W108" s="181">
        <f>IF(C108&gt;$C$10,0,IF(AND($C$38&gt;0,A108&gt;=$C$38,EOMONTH(A108,0)&lt;=$C$39),E108*(1-$C$40)*(1-F$34),E108*(1-F$34)))+M108</f>
        <v>0</v>
      </c>
      <c r="X108" s="179">
        <f>IF(C108&gt;$C$10,0,IF(AND($C$38&gt;0,A108&gt;=$C$38,EOMONTH(A108,0)&lt;=$C$39),E108*(1-$C$40)*(1-G$34),E108*(1-G$34)))+M108</f>
        <v>0</v>
      </c>
      <c r="Y108" s="178">
        <f>IF(C108&gt;$C$10,0,IF(AND($C$38&gt;0,A108&gt;=$C$38,EOMONTH(A108,0)&lt;=$C$39),E108*(1-$C$40)*(1-H$34),E108*(1-H$34)))+M108</f>
        <v>0</v>
      </c>
      <c r="Z108" s="179">
        <f>IF(C108&gt;$C$10,0,IF(AND($C$38&gt;0,A108&gt;=$C$38,EOMONTH(A108,0)&lt;=$C$39),E108*(1-$C$40)*(1-I$34),E108*(1-I$34)))+M108</f>
        <v>0</v>
      </c>
      <c r="AA108" s="180">
        <f>IF(C108&gt;$C$10,0,IF(AND($C$38&gt;0,A108&gt;=$C$38,EOMONTH(A108,0)&lt;=$C$39),E108*(1-$C$40)*(1-J$34),E108*(1-J$34)))+M108</f>
        <v>0</v>
      </c>
    </row>
    <row r="109" spans="1:27" x14ac:dyDescent="0.25">
      <c r="A109" s="98">
        <f>EDATE($C$8,34)</f>
        <v>1035</v>
      </c>
      <c r="B109" s="99">
        <f>EDATE($C$8,35)-1</f>
        <v>1064</v>
      </c>
      <c r="C109" s="92">
        <f t="shared" si="10"/>
        <v>35</v>
      </c>
      <c r="D109" s="100">
        <f t="shared" si="0"/>
        <v>3</v>
      </c>
      <c r="E109" s="101">
        <f t="shared" si="1"/>
        <v>0</v>
      </c>
      <c r="F109" s="94">
        <f t="shared" si="11"/>
        <v>0</v>
      </c>
      <c r="G109" s="95">
        <f t="shared" si="12"/>
        <v>0</v>
      </c>
      <c r="H109" s="94">
        <f t="shared" si="2"/>
        <v>0</v>
      </c>
      <c r="I109" s="94">
        <f t="shared" si="3"/>
        <v>0</v>
      </c>
      <c r="J109" s="94">
        <f t="shared" si="4"/>
        <v>0</v>
      </c>
      <c r="K109" s="94">
        <f t="shared" si="5"/>
        <v>0</v>
      </c>
      <c r="L109" s="94">
        <f t="shared" si="6"/>
        <v>0</v>
      </c>
      <c r="M109" s="94">
        <f t="shared" si="7"/>
        <v>0</v>
      </c>
      <c r="N109" s="101">
        <f t="shared" si="8"/>
        <v>0</v>
      </c>
      <c r="O109" s="102">
        <f t="shared" si="9"/>
        <v>0</v>
      </c>
      <c r="P109" s="101">
        <f>MAX(SUM(N109:N198)+S109,0)</f>
        <v>0</v>
      </c>
      <c r="Q109" s="101">
        <f>SUM(F109:F198)</f>
        <v>0</v>
      </c>
      <c r="R109" s="101">
        <f>SUM(M109:M198)</f>
        <v>0</v>
      </c>
      <c r="S109" s="103">
        <f>SUMPRODUCT(($C$55:$C$67)*($D$55:$D$67&gt;=$A109))</f>
        <v>0</v>
      </c>
      <c r="T109" s="150">
        <f>IF(C109&gt;$C$10,0,IF(AND($C$38&gt;0,A109&gt;=$C$38,EOMONTH(A109,0)&lt;=$C$39),E109*(1-$C$40)*(1-G$15),E109*(1-G$15)))+M109</f>
        <v>0</v>
      </c>
      <c r="U109" s="150">
        <f>IF(C109&gt;$C$10,0,IF(AND($C$38&gt;0,A109&gt;=$C$38,EOMONTH(A109,0)&lt;=$C$39),E109*(1-$C$40)*(1-H$15),E109*(1-H$15)))+M109</f>
        <v>0</v>
      </c>
      <c r="V109" s="150">
        <f>IF(C109&gt;$C$10,0,IF(AND($C$38&gt;0,A109&gt;=$C$38,EOMONTH(A109,0)&lt;=$C$39),E109*(1-$C$40)*(1-I$15),E109*(1-I$15)))+M109</f>
        <v>0</v>
      </c>
      <c r="W109" s="181">
        <f>IF(C109&gt;$C$10,0,IF(AND($C$38&gt;0,A109&gt;=$C$38,EOMONTH(A109,0)&lt;=$C$39),E109*(1-$C$40)*(1-F$34),E109*(1-F$34)))+M109</f>
        <v>0</v>
      </c>
      <c r="X109" s="179">
        <f>IF(C109&gt;$C$10,0,IF(AND($C$38&gt;0,A109&gt;=$C$38,EOMONTH(A109,0)&lt;=$C$39),E109*(1-$C$40)*(1-G$34),E109*(1-G$34)))+M109</f>
        <v>0</v>
      </c>
      <c r="Y109" s="178">
        <f>IF(C109&gt;$C$10,0,IF(AND($C$38&gt;0,A109&gt;=$C$38,EOMONTH(A109,0)&lt;=$C$39),E109*(1-$C$40)*(1-H$34),E109*(1-H$34)))+M109</f>
        <v>0</v>
      </c>
      <c r="Z109" s="179">
        <f>IF(C109&gt;$C$10,0,IF(AND($C$38&gt;0,A109&gt;=$C$38,EOMONTH(A109,0)&lt;=$C$39),E109*(1-$C$40)*(1-I$34),E109*(1-I$34)))+M109</f>
        <v>0</v>
      </c>
      <c r="AA109" s="180">
        <f>IF(C109&gt;$C$10,0,IF(AND($C$38&gt;0,A109&gt;=$C$38,EOMONTH(A109,0)&lt;=$C$39),E109*(1-$C$40)*(1-J$34),E109*(1-J$34)))+M109</f>
        <v>0</v>
      </c>
    </row>
    <row r="110" spans="1:27" x14ac:dyDescent="0.25">
      <c r="A110" s="104">
        <f>EDATE($C$8,35)</f>
        <v>1065</v>
      </c>
      <c r="B110" s="105">
        <f>EDATE($C$8,36)-1</f>
        <v>1095</v>
      </c>
      <c r="C110" s="92">
        <f t="shared" si="10"/>
        <v>36</v>
      </c>
      <c r="D110" s="106">
        <f t="shared" si="0"/>
        <v>3</v>
      </c>
      <c r="E110" s="107">
        <f t="shared" si="1"/>
        <v>0</v>
      </c>
      <c r="F110" s="94">
        <f t="shared" si="11"/>
        <v>0</v>
      </c>
      <c r="G110" s="95">
        <f t="shared" si="12"/>
        <v>0</v>
      </c>
      <c r="H110" s="94">
        <f t="shared" si="2"/>
        <v>0</v>
      </c>
      <c r="I110" s="94">
        <f t="shared" si="3"/>
        <v>0</v>
      </c>
      <c r="J110" s="94">
        <f t="shared" si="4"/>
        <v>0</v>
      </c>
      <c r="K110" s="94">
        <f t="shared" si="5"/>
        <v>0</v>
      </c>
      <c r="L110" s="94">
        <f t="shared" si="6"/>
        <v>0</v>
      </c>
      <c r="M110" s="94">
        <f t="shared" si="7"/>
        <v>0</v>
      </c>
      <c r="N110" s="107">
        <f t="shared" si="8"/>
        <v>0</v>
      </c>
      <c r="O110" s="108">
        <f t="shared" si="9"/>
        <v>0</v>
      </c>
      <c r="P110" s="107">
        <f>MAX(SUM(N110:N198)+S110,0)</f>
        <v>0</v>
      </c>
      <c r="Q110" s="107">
        <f>SUM(F110:F198)</f>
        <v>0</v>
      </c>
      <c r="R110" s="107">
        <f>SUM(M110:M198)</f>
        <v>0</v>
      </c>
      <c r="S110" s="109">
        <f>SUMPRODUCT(($C$55:$C$67)*($D$55:$D$67&gt;=$A110))</f>
        <v>0</v>
      </c>
      <c r="T110" s="150">
        <f>IF(C110&gt;$C$10,0,IF(AND($C$38&gt;0,A110&gt;=$C$38,EOMONTH(A110,0)&lt;=$C$39),E110*(1-$C$40)*(1-G$15),E110*(1-G$15)))+M110</f>
        <v>0</v>
      </c>
      <c r="U110" s="150">
        <f>IF(C110&gt;$C$10,0,IF(AND($C$38&gt;0,A110&gt;=$C$38,EOMONTH(A110,0)&lt;=$C$39),E110*(1-$C$40)*(1-H$15),E110*(1-H$15)))+M110</f>
        <v>0</v>
      </c>
      <c r="V110" s="150">
        <f>IF(C110&gt;$C$10,0,IF(AND($C$38&gt;0,A110&gt;=$C$38,EOMONTH(A110,0)&lt;=$C$39),E110*(1-$C$40)*(1-I$15),E110*(1-I$15)))+M110</f>
        <v>0</v>
      </c>
      <c r="W110" s="181">
        <f>IF(C110&gt;$C$10,0,IF(AND($C$38&gt;0,A110&gt;=$C$38,EOMONTH(A110,0)&lt;=$C$39),E110*(1-$C$40)*(1-F$34),E110*(1-F$34)))+M110</f>
        <v>0</v>
      </c>
      <c r="X110" s="179">
        <f>IF(C110&gt;$C$10,0,IF(AND($C$38&gt;0,A110&gt;=$C$38,EOMONTH(A110,0)&lt;=$C$39),E110*(1-$C$40)*(1-G$34),E110*(1-G$34)))+M110</f>
        <v>0</v>
      </c>
      <c r="Y110" s="178">
        <f>IF(C110&gt;$C$10,0,IF(AND($C$38&gt;0,A110&gt;=$C$38,EOMONTH(A110,0)&lt;=$C$39),E110*(1-$C$40)*(1-H$34),E110*(1-H$34)))+M110</f>
        <v>0</v>
      </c>
      <c r="Z110" s="179">
        <f>IF(C110&gt;$C$10,0,IF(AND($C$38&gt;0,A110&gt;=$C$38,EOMONTH(A110,0)&lt;=$C$39),E110*(1-$C$40)*(1-I$34),E110*(1-I$34)))+M110</f>
        <v>0</v>
      </c>
      <c r="AA110" s="180">
        <f>IF(C110&gt;$C$10,0,IF(AND($C$38&gt;0,A110&gt;=$C$38,EOMONTH(A110,0)&lt;=$C$39),E110*(1-$C$40)*(1-J$34),E110*(1-J$34)))+M110</f>
        <v>0</v>
      </c>
    </row>
    <row r="111" spans="1:27" x14ac:dyDescent="0.25">
      <c r="A111" s="98">
        <f>EDATE($C$8,36)</f>
        <v>1096</v>
      </c>
      <c r="B111" s="99">
        <f>EDATE($C$8,37)-1</f>
        <v>1126</v>
      </c>
      <c r="C111" s="92">
        <f t="shared" si="10"/>
        <v>37</v>
      </c>
      <c r="D111" s="100">
        <f t="shared" si="0"/>
        <v>4</v>
      </c>
      <c r="E111" s="101">
        <f t="shared" si="1"/>
        <v>0</v>
      </c>
      <c r="F111" s="94">
        <f t="shared" si="11"/>
        <v>0</v>
      </c>
      <c r="G111" s="95">
        <f t="shared" si="12"/>
        <v>0</v>
      </c>
      <c r="H111" s="94">
        <f t="shared" si="2"/>
        <v>0</v>
      </c>
      <c r="I111" s="94">
        <f t="shared" si="3"/>
        <v>0</v>
      </c>
      <c r="J111" s="94">
        <f t="shared" si="4"/>
        <v>0</v>
      </c>
      <c r="K111" s="94">
        <f t="shared" si="5"/>
        <v>0</v>
      </c>
      <c r="L111" s="94">
        <f t="shared" si="6"/>
        <v>0</v>
      </c>
      <c r="M111" s="94">
        <f t="shared" si="7"/>
        <v>0</v>
      </c>
      <c r="N111" s="101">
        <f t="shared" si="8"/>
        <v>0</v>
      </c>
      <c r="O111" s="102">
        <f t="shared" si="9"/>
        <v>0</v>
      </c>
      <c r="P111" s="101">
        <f>MAX(SUM(N111:N198)+S111,0)</f>
        <v>0</v>
      </c>
      <c r="Q111" s="101">
        <f>SUM(F111:F198)</f>
        <v>0</v>
      </c>
      <c r="R111" s="101">
        <f>SUM(M111:M198)</f>
        <v>0</v>
      </c>
      <c r="S111" s="103">
        <f>SUMPRODUCT(($C$55:$C$67)*($D$55:$D$67&gt;=$A111))</f>
        <v>0</v>
      </c>
      <c r="T111" s="150">
        <f>IF(C111&gt;$C$10,0,IF(AND($C$38&gt;0,A111&gt;=$C$38,EOMONTH(A111,0)&lt;=$C$39),E111*(1-$C$40)*(1-G$15),E111*(1-G$15)))+M111</f>
        <v>0</v>
      </c>
      <c r="U111" s="150">
        <f>IF(C111&gt;$C$10,0,IF(AND($C$38&gt;0,A111&gt;=$C$38,EOMONTH(A111,0)&lt;=$C$39),E111*(1-$C$40)*(1-H$15),E111*(1-H$15)))+M111</f>
        <v>0</v>
      </c>
      <c r="V111" s="150">
        <f>IF(C111&gt;$C$10,0,IF(AND($C$38&gt;0,A111&gt;=$C$38,EOMONTH(A111,0)&lt;=$C$39),E111*(1-$C$40)*(1-I$15),E111*(1-I$15)))+M111</f>
        <v>0</v>
      </c>
      <c r="W111" s="181">
        <f>IF(C111&gt;$C$10,0,IF(AND($C$38&gt;0,A111&gt;=$C$38,EOMONTH(A111,0)&lt;=$C$39),E111*(1-$C$40)*(1-F$34),E111*(1-F$34)))+M111</f>
        <v>0</v>
      </c>
      <c r="X111" s="179">
        <f>IF(C111&gt;$C$10,0,IF(AND($C$38&gt;0,A111&gt;=$C$38,EOMONTH(A111,0)&lt;=$C$39),E111*(1-$C$40)*(1-G$34),E111*(1-G$34)))+M111</f>
        <v>0</v>
      </c>
      <c r="Y111" s="178">
        <f>IF(C111&gt;$C$10,0,IF(AND($C$38&gt;0,A111&gt;=$C$38,EOMONTH(A111,0)&lt;=$C$39),E111*(1-$C$40)*(1-H$34),E111*(1-H$34)))+M111</f>
        <v>0</v>
      </c>
      <c r="Z111" s="179">
        <f>IF(C111&gt;$C$10,0,IF(AND($C$38&gt;0,A111&gt;=$C$38,EOMONTH(A111,0)&lt;=$C$39),E111*(1-$C$40)*(1-I$34),E111*(1-I$34)))+M111</f>
        <v>0</v>
      </c>
      <c r="AA111" s="180">
        <f>IF(C111&gt;$C$10,0,IF(AND($C$38&gt;0,A111&gt;=$C$38,EOMONTH(A111,0)&lt;=$C$39),E111*(1-$C$40)*(1-J$34),E111*(1-J$34)))+M111</f>
        <v>0</v>
      </c>
    </row>
    <row r="112" spans="1:27" x14ac:dyDescent="0.25">
      <c r="A112" s="104">
        <f>EDATE($C$8,37)</f>
        <v>1127</v>
      </c>
      <c r="B112" s="105">
        <f>EDATE($C$8,38)-1</f>
        <v>1154</v>
      </c>
      <c r="C112" s="92">
        <f t="shared" si="10"/>
        <v>38</v>
      </c>
      <c r="D112" s="106">
        <f t="shared" si="0"/>
        <v>4</v>
      </c>
      <c r="E112" s="107">
        <f t="shared" si="1"/>
        <v>0</v>
      </c>
      <c r="F112" s="94">
        <f t="shared" si="11"/>
        <v>0</v>
      </c>
      <c r="G112" s="95">
        <f t="shared" si="12"/>
        <v>0</v>
      </c>
      <c r="H112" s="94">
        <f t="shared" si="2"/>
        <v>0</v>
      </c>
      <c r="I112" s="94">
        <f t="shared" si="3"/>
        <v>0</v>
      </c>
      <c r="J112" s="94">
        <f t="shared" si="4"/>
        <v>0</v>
      </c>
      <c r="K112" s="94">
        <f t="shared" si="5"/>
        <v>0</v>
      </c>
      <c r="L112" s="94">
        <f t="shared" si="6"/>
        <v>0</v>
      </c>
      <c r="M112" s="94">
        <f t="shared" si="7"/>
        <v>0</v>
      </c>
      <c r="N112" s="107">
        <f t="shared" si="8"/>
        <v>0</v>
      </c>
      <c r="O112" s="108">
        <f t="shared" si="9"/>
        <v>0</v>
      </c>
      <c r="P112" s="107">
        <f>MAX(SUM(N112:N198)+S112,0)</f>
        <v>0</v>
      </c>
      <c r="Q112" s="107">
        <f>SUM(F112:F198)</f>
        <v>0</v>
      </c>
      <c r="R112" s="107">
        <f>SUM(M112:M198)</f>
        <v>0</v>
      </c>
      <c r="S112" s="109">
        <f>SUMPRODUCT(($C$55:$C$67)*($D$55:$D$67&gt;=$A112))</f>
        <v>0</v>
      </c>
      <c r="T112" s="150">
        <f>IF(C112&gt;$C$10,0,IF(AND($C$38&gt;0,A112&gt;=$C$38,EOMONTH(A112,0)&lt;=$C$39),E112*(1-$C$40)*(1-G$15),E112*(1-G$15)))+M112</f>
        <v>0</v>
      </c>
      <c r="U112" s="150">
        <f>IF(C112&gt;$C$10,0,IF(AND($C$38&gt;0,A112&gt;=$C$38,EOMONTH(A112,0)&lt;=$C$39),E112*(1-$C$40)*(1-H$15),E112*(1-H$15)))+M112</f>
        <v>0</v>
      </c>
      <c r="V112" s="150">
        <f>IF(C112&gt;$C$10,0,IF(AND($C$38&gt;0,A112&gt;=$C$38,EOMONTH(A112,0)&lt;=$C$39),E112*(1-$C$40)*(1-I$15),E112*(1-I$15)))+M112</f>
        <v>0</v>
      </c>
      <c r="W112" s="181">
        <f>IF(C112&gt;$C$10,0,IF(AND($C$38&gt;0,A112&gt;=$C$38,EOMONTH(A112,0)&lt;=$C$39),E112*(1-$C$40)*(1-F$34),E112*(1-F$34)))+M112</f>
        <v>0</v>
      </c>
      <c r="X112" s="179">
        <f>IF(C112&gt;$C$10,0,IF(AND($C$38&gt;0,A112&gt;=$C$38,EOMONTH(A112,0)&lt;=$C$39),E112*(1-$C$40)*(1-G$34),E112*(1-G$34)))+M112</f>
        <v>0</v>
      </c>
      <c r="Y112" s="178">
        <f>IF(C112&gt;$C$10,0,IF(AND($C$38&gt;0,A112&gt;=$C$38,EOMONTH(A112,0)&lt;=$C$39),E112*(1-$C$40)*(1-H$34),E112*(1-H$34)))+M112</f>
        <v>0</v>
      </c>
      <c r="Z112" s="179">
        <f>IF(C112&gt;$C$10,0,IF(AND($C$38&gt;0,A112&gt;=$C$38,EOMONTH(A112,0)&lt;=$C$39),E112*(1-$C$40)*(1-I$34),E112*(1-I$34)))+M112</f>
        <v>0</v>
      </c>
      <c r="AA112" s="180">
        <f>IF(C112&gt;$C$10,0,IF(AND($C$38&gt;0,A112&gt;=$C$38,EOMONTH(A112,0)&lt;=$C$39),E112*(1-$C$40)*(1-J$34),E112*(1-J$34)))+M112</f>
        <v>0</v>
      </c>
    </row>
    <row r="113" spans="1:27" x14ac:dyDescent="0.25">
      <c r="A113" s="98">
        <f>EDATE($C$8,38)</f>
        <v>1155</v>
      </c>
      <c r="B113" s="99">
        <f>EDATE($C$8,39)-1</f>
        <v>1185</v>
      </c>
      <c r="C113" s="92">
        <f t="shared" si="10"/>
        <v>39</v>
      </c>
      <c r="D113" s="100">
        <f t="shared" si="0"/>
        <v>4</v>
      </c>
      <c r="E113" s="101">
        <f t="shared" si="1"/>
        <v>0</v>
      </c>
      <c r="F113" s="94">
        <f t="shared" si="11"/>
        <v>0</v>
      </c>
      <c r="G113" s="95">
        <f t="shared" si="12"/>
        <v>0</v>
      </c>
      <c r="H113" s="94">
        <f t="shared" si="2"/>
        <v>0</v>
      </c>
      <c r="I113" s="94">
        <f t="shared" si="3"/>
        <v>0</v>
      </c>
      <c r="J113" s="94">
        <f t="shared" si="4"/>
        <v>0</v>
      </c>
      <c r="K113" s="94">
        <f t="shared" si="5"/>
        <v>0</v>
      </c>
      <c r="L113" s="94">
        <f t="shared" si="6"/>
        <v>0</v>
      </c>
      <c r="M113" s="94">
        <f t="shared" si="7"/>
        <v>0</v>
      </c>
      <c r="N113" s="101">
        <f t="shared" si="8"/>
        <v>0</v>
      </c>
      <c r="O113" s="102">
        <f t="shared" si="9"/>
        <v>0</v>
      </c>
      <c r="P113" s="101">
        <f>MAX(SUM(N113:N198)+S113,0)</f>
        <v>0</v>
      </c>
      <c r="Q113" s="101">
        <f>SUM(F113:F198)</f>
        <v>0</v>
      </c>
      <c r="R113" s="101">
        <f>SUM(M113:M198)</f>
        <v>0</v>
      </c>
      <c r="S113" s="103">
        <f>SUMPRODUCT(($C$55:$C$67)*($D$55:$D$67&gt;=$A113))</f>
        <v>0</v>
      </c>
      <c r="T113" s="150">
        <f>IF(C113&gt;$C$10,0,IF(AND($C$38&gt;0,A113&gt;=$C$38,EOMONTH(A113,0)&lt;=$C$39),E113*(1-$C$40)*(1-G$15),E113*(1-G$15)))+M113</f>
        <v>0</v>
      </c>
      <c r="U113" s="150">
        <f>IF(C113&gt;$C$10,0,IF(AND($C$38&gt;0,A113&gt;=$C$38,EOMONTH(A113,0)&lt;=$C$39),E113*(1-$C$40)*(1-H$15),E113*(1-H$15)))+M113</f>
        <v>0</v>
      </c>
      <c r="V113" s="150">
        <f>IF(C113&gt;$C$10,0,IF(AND($C$38&gt;0,A113&gt;=$C$38,EOMONTH(A113,0)&lt;=$C$39),E113*(1-$C$40)*(1-I$15),E113*(1-I$15)))+M113</f>
        <v>0</v>
      </c>
      <c r="W113" s="181">
        <f>IF(C113&gt;$C$10,0,IF(AND($C$38&gt;0,A113&gt;=$C$38,EOMONTH(A113,0)&lt;=$C$39),E113*(1-$C$40)*(1-F$34),E113*(1-F$34)))+M113</f>
        <v>0</v>
      </c>
      <c r="X113" s="179">
        <f>IF(C113&gt;$C$10,0,IF(AND($C$38&gt;0,A113&gt;=$C$38,EOMONTH(A113,0)&lt;=$C$39),E113*(1-$C$40)*(1-G$34),E113*(1-G$34)))+M113</f>
        <v>0</v>
      </c>
      <c r="Y113" s="178">
        <f>IF(C113&gt;$C$10,0,IF(AND($C$38&gt;0,A113&gt;=$C$38,EOMONTH(A113,0)&lt;=$C$39),E113*(1-$C$40)*(1-H$34),E113*(1-H$34)))+M113</f>
        <v>0</v>
      </c>
      <c r="Z113" s="179">
        <f>IF(C113&gt;$C$10,0,IF(AND($C$38&gt;0,A113&gt;=$C$38,EOMONTH(A113,0)&lt;=$C$39),E113*(1-$C$40)*(1-I$34),E113*(1-I$34)))+M113</f>
        <v>0</v>
      </c>
      <c r="AA113" s="180">
        <f>IF(C113&gt;$C$10,0,IF(AND($C$38&gt;0,A113&gt;=$C$38,EOMONTH(A113,0)&lt;=$C$39),E113*(1-$C$40)*(1-J$34),E113*(1-J$34)))+M113</f>
        <v>0</v>
      </c>
    </row>
    <row r="114" spans="1:27" x14ac:dyDescent="0.25">
      <c r="A114" s="104">
        <f>EDATE($C$8,39)</f>
        <v>1186</v>
      </c>
      <c r="B114" s="105">
        <f>EDATE($C$8,40)-1</f>
        <v>1215</v>
      </c>
      <c r="C114" s="92">
        <f t="shared" si="10"/>
        <v>40</v>
      </c>
      <c r="D114" s="106">
        <f t="shared" si="0"/>
        <v>4</v>
      </c>
      <c r="E114" s="107">
        <f t="shared" si="1"/>
        <v>0</v>
      </c>
      <c r="F114" s="94">
        <f t="shared" si="11"/>
        <v>0</v>
      </c>
      <c r="G114" s="95">
        <f t="shared" si="12"/>
        <v>0</v>
      </c>
      <c r="H114" s="94">
        <f t="shared" si="2"/>
        <v>0</v>
      </c>
      <c r="I114" s="94">
        <f t="shared" si="3"/>
        <v>0</v>
      </c>
      <c r="J114" s="94">
        <f t="shared" si="4"/>
        <v>0</v>
      </c>
      <c r="K114" s="94">
        <f t="shared" si="5"/>
        <v>0</v>
      </c>
      <c r="L114" s="94">
        <f t="shared" si="6"/>
        <v>0</v>
      </c>
      <c r="M114" s="94">
        <f t="shared" si="7"/>
        <v>0</v>
      </c>
      <c r="N114" s="107">
        <f t="shared" si="8"/>
        <v>0</v>
      </c>
      <c r="O114" s="108">
        <f t="shared" si="9"/>
        <v>0</v>
      </c>
      <c r="P114" s="107">
        <f>MAX(SUM(N114:N198)+S114,0)</f>
        <v>0</v>
      </c>
      <c r="Q114" s="107">
        <f>SUM(F114:F198)</f>
        <v>0</v>
      </c>
      <c r="R114" s="107">
        <f>SUM(M114:M198)</f>
        <v>0</v>
      </c>
      <c r="S114" s="109">
        <f>SUMPRODUCT(($C$55:$C$67)*($D$55:$D$67&gt;=$A114))</f>
        <v>0</v>
      </c>
      <c r="T114" s="150">
        <f>IF(C114&gt;$C$10,0,IF(AND($C$38&gt;0,A114&gt;=$C$38,EOMONTH(A114,0)&lt;=$C$39),E114*(1-$C$40)*(1-G$15),E114*(1-G$15)))+M114</f>
        <v>0</v>
      </c>
      <c r="U114" s="150">
        <f>IF(C114&gt;$C$10,0,IF(AND($C$38&gt;0,A114&gt;=$C$38,EOMONTH(A114,0)&lt;=$C$39),E114*(1-$C$40)*(1-H$15),E114*(1-H$15)))+M114</f>
        <v>0</v>
      </c>
      <c r="V114" s="150">
        <f>IF(C114&gt;$C$10,0,IF(AND($C$38&gt;0,A114&gt;=$C$38,EOMONTH(A114,0)&lt;=$C$39),E114*(1-$C$40)*(1-I$15),E114*(1-I$15)))+M114</f>
        <v>0</v>
      </c>
      <c r="W114" s="181">
        <f>IF(C114&gt;$C$10,0,IF(AND($C$38&gt;0,A114&gt;=$C$38,EOMONTH(A114,0)&lt;=$C$39),E114*(1-$C$40)*(1-F$34),E114*(1-F$34)))+M114</f>
        <v>0</v>
      </c>
      <c r="X114" s="179">
        <f>IF(C114&gt;$C$10,0,IF(AND($C$38&gt;0,A114&gt;=$C$38,EOMONTH(A114,0)&lt;=$C$39),E114*(1-$C$40)*(1-G$34),E114*(1-G$34)))+M114</f>
        <v>0</v>
      </c>
      <c r="Y114" s="178">
        <f>IF(C114&gt;$C$10,0,IF(AND($C$38&gt;0,A114&gt;=$C$38,EOMONTH(A114,0)&lt;=$C$39),E114*(1-$C$40)*(1-H$34),E114*(1-H$34)))+M114</f>
        <v>0</v>
      </c>
      <c r="Z114" s="179">
        <f>IF(C114&gt;$C$10,0,IF(AND($C$38&gt;0,A114&gt;=$C$38,EOMONTH(A114,0)&lt;=$C$39),E114*(1-$C$40)*(1-I$34),E114*(1-I$34)))+M114</f>
        <v>0</v>
      </c>
      <c r="AA114" s="180">
        <f>IF(C114&gt;$C$10,0,IF(AND($C$38&gt;0,A114&gt;=$C$38,EOMONTH(A114,0)&lt;=$C$39),E114*(1-$C$40)*(1-J$34),E114*(1-J$34)))+M114</f>
        <v>0</v>
      </c>
    </row>
    <row r="115" spans="1:27" x14ac:dyDescent="0.25">
      <c r="A115" s="98">
        <f>EDATE($C$8,40)</f>
        <v>1216</v>
      </c>
      <c r="B115" s="99">
        <f>EDATE($C$8,41)-1</f>
        <v>1246</v>
      </c>
      <c r="C115" s="92">
        <f t="shared" si="10"/>
        <v>41</v>
      </c>
      <c r="D115" s="100">
        <f t="shared" si="0"/>
        <v>4</v>
      </c>
      <c r="E115" s="101">
        <f t="shared" si="1"/>
        <v>0</v>
      </c>
      <c r="F115" s="94">
        <f t="shared" si="11"/>
        <v>0</v>
      </c>
      <c r="G115" s="95">
        <f t="shared" si="12"/>
        <v>0</v>
      </c>
      <c r="H115" s="94">
        <f t="shared" si="2"/>
        <v>0</v>
      </c>
      <c r="I115" s="94">
        <f t="shared" si="3"/>
        <v>0</v>
      </c>
      <c r="J115" s="94">
        <f t="shared" si="4"/>
        <v>0</v>
      </c>
      <c r="K115" s="94">
        <f t="shared" si="5"/>
        <v>0</v>
      </c>
      <c r="L115" s="94">
        <f t="shared" si="6"/>
        <v>0</v>
      </c>
      <c r="M115" s="94">
        <f t="shared" si="7"/>
        <v>0</v>
      </c>
      <c r="N115" s="101">
        <f t="shared" si="8"/>
        <v>0</v>
      </c>
      <c r="O115" s="102">
        <f t="shared" si="9"/>
        <v>0</v>
      </c>
      <c r="P115" s="101">
        <f>MAX(SUM(N115:N198)+S115,0)</f>
        <v>0</v>
      </c>
      <c r="Q115" s="101">
        <f>SUM(F115:F198)</f>
        <v>0</v>
      </c>
      <c r="R115" s="101">
        <f>SUM(M115:M198)</f>
        <v>0</v>
      </c>
      <c r="S115" s="103">
        <f>SUMPRODUCT(($C$55:$C$67)*($D$55:$D$67&gt;=$A115))</f>
        <v>0</v>
      </c>
      <c r="T115" s="150">
        <f>IF(C115&gt;$C$10,0,IF(AND($C$38&gt;0,A115&gt;=$C$38,EOMONTH(A115,0)&lt;=$C$39),E115*(1-$C$40)*(1-G$15),E115*(1-G$15)))+M115</f>
        <v>0</v>
      </c>
      <c r="U115" s="150">
        <f>IF(C115&gt;$C$10,0,IF(AND($C$38&gt;0,A115&gt;=$C$38,EOMONTH(A115,0)&lt;=$C$39),E115*(1-$C$40)*(1-H$15),E115*(1-H$15)))+M115</f>
        <v>0</v>
      </c>
      <c r="V115" s="150">
        <f>IF(C115&gt;$C$10,0,IF(AND($C$38&gt;0,A115&gt;=$C$38,EOMONTH(A115,0)&lt;=$C$39),E115*(1-$C$40)*(1-I$15),E115*(1-I$15)))+M115</f>
        <v>0</v>
      </c>
      <c r="W115" s="181">
        <f>IF(C115&gt;$C$10,0,IF(AND($C$38&gt;0,A115&gt;=$C$38,EOMONTH(A115,0)&lt;=$C$39),E115*(1-$C$40)*(1-F$34),E115*(1-F$34)))+M115</f>
        <v>0</v>
      </c>
      <c r="X115" s="179">
        <f>IF(C115&gt;$C$10,0,IF(AND($C$38&gt;0,A115&gt;=$C$38,EOMONTH(A115,0)&lt;=$C$39),E115*(1-$C$40)*(1-G$34),E115*(1-G$34)))+M115</f>
        <v>0</v>
      </c>
      <c r="Y115" s="178">
        <f>IF(C115&gt;$C$10,0,IF(AND($C$38&gt;0,A115&gt;=$C$38,EOMONTH(A115,0)&lt;=$C$39),E115*(1-$C$40)*(1-H$34),E115*(1-H$34)))+M115</f>
        <v>0</v>
      </c>
      <c r="Z115" s="179">
        <f>IF(C115&gt;$C$10,0,IF(AND($C$38&gt;0,A115&gt;=$C$38,EOMONTH(A115,0)&lt;=$C$39),E115*(1-$C$40)*(1-I$34),E115*(1-I$34)))+M115</f>
        <v>0</v>
      </c>
      <c r="AA115" s="180">
        <f>IF(C115&gt;$C$10,0,IF(AND($C$38&gt;0,A115&gt;=$C$38,EOMONTH(A115,0)&lt;=$C$39),E115*(1-$C$40)*(1-J$34),E115*(1-J$34)))+M115</f>
        <v>0</v>
      </c>
    </row>
    <row r="116" spans="1:27" x14ac:dyDescent="0.25">
      <c r="A116" s="104">
        <f>EDATE($C$8,41)</f>
        <v>1247</v>
      </c>
      <c r="B116" s="105">
        <f>EDATE($C$8,42)-1</f>
        <v>1276</v>
      </c>
      <c r="C116" s="92">
        <f t="shared" si="10"/>
        <v>42</v>
      </c>
      <c r="D116" s="106">
        <f t="shared" si="0"/>
        <v>4</v>
      </c>
      <c r="E116" s="107">
        <f t="shared" si="1"/>
        <v>0</v>
      </c>
      <c r="F116" s="94">
        <f t="shared" si="11"/>
        <v>0</v>
      </c>
      <c r="G116" s="95">
        <f t="shared" si="12"/>
        <v>0</v>
      </c>
      <c r="H116" s="94">
        <f t="shared" si="2"/>
        <v>0</v>
      </c>
      <c r="I116" s="94">
        <f t="shared" si="3"/>
        <v>0</v>
      </c>
      <c r="J116" s="94">
        <f t="shared" si="4"/>
        <v>0</v>
      </c>
      <c r="K116" s="94">
        <f t="shared" si="5"/>
        <v>0</v>
      </c>
      <c r="L116" s="94">
        <f t="shared" si="6"/>
        <v>0</v>
      </c>
      <c r="M116" s="94">
        <f t="shared" si="7"/>
        <v>0</v>
      </c>
      <c r="N116" s="107">
        <f t="shared" si="8"/>
        <v>0</v>
      </c>
      <c r="O116" s="108">
        <f t="shared" si="9"/>
        <v>0</v>
      </c>
      <c r="P116" s="107">
        <f>MAX(SUM(N116:N198)+S116,0)</f>
        <v>0</v>
      </c>
      <c r="Q116" s="107">
        <f>SUM(F116:F198)</f>
        <v>0</v>
      </c>
      <c r="R116" s="107">
        <f>SUM(M116:M198)</f>
        <v>0</v>
      </c>
      <c r="S116" s="109">
        <f>SUMPRODUCT(($C$55:$C$67)*($D$55:$D$67&gt;=$A116))</f>
        <v>0</v>
      </c>
      <c r="T116" s="150">
        <f>IF(C116&gt;$C$10,0,IF(AND($C$38&gt;0,A116&gt;=$C$38,EOMONTH(A116,0)&lt;=$C$39),E116*(1-$C$40)*(1-G$15),E116*(1-G$15)))+M116</f>
        <v>0</v>
      </c>
      <c r="U116" s="150">
        <f>IF(C116&gt;$C$10,0,IF(AND($C$38&gt;0,A116&gt;=$C$38,EOMONTH(A116,0)&lt;=$C$39),E116*(1-$C$40)*(1-H$15),E116*(1-H$15)))+M116</f>
        <v>0</v>
      </c>
      <c r="V116" s="150">
        <f>IF(C116&gt;$C$10,0,IF(AND($C$38&gt;0,A116&gt;=$C$38,EOMONTH(A116,0)&lt;=$C$39),E116*(1-$C$40)*(1-I$15),E116*(1-I$15)))+M116</f>
        <v>0</v>
      </c>
      <c r="W116" s="181">
        <f>IF(C116&gt;$C$10,0,IF(AND($C$38&gt;0,A116&gt;=$C$38,EOMONTH(A116,0)&lt;=$C$39),E116*(1-$C$40)*(1-F$34),E116*(1-F$34)))+M116</f>
        <v>0</v>
      </c>
      <c r="X116" s="179">
        <f>IF(C116&gt;$C$10,0,IF(AND($C$38&gt;0,A116&gt;=$C$38,EOMONTH(A116,0)&lt;=$C$39),E116*(1-$C$40)*(1-G$34),E116*(1-G$34)))+M116</f>
        <v>0</v>
      </c>
      <c r="Y116" s="178">
        <f>IF(C116&gt;$C$10,0,IF(AND($C$38&gt;0,A116&gt;=$C$38,EOMONTH(A116,0)&lt;=$C$39),E116*(1-$C$40)*(1-H$34),E116*(1-H$34)))+M116</f>
        <v>0</v>
      </c>
      <c r="Z116" s="179">
        <f>IF(C116&gt;$C$10,0,IF(AND($C$38&gt;0,A116&gt;=$C$38,EOMONTH(A116,0)&lt;=$C$39),E116*(1-$C$40)*(1-I$34),E116*(1-I$34)))+M116</f>
        <v>0</v>
      </c>
      <c r="AA116" s="180">
        <f>IF(C116&gt;$C$10,0,IF(AND($C$38&gt;0,A116&gt;=$C$38,EOMONTH(A116,0)&lt;=$C$39),E116*(1-$C$40)*(1-J$34),E116*(1-J$34)))+M116</f>
        <v>0</v>
      </c>
    </row>
    <row r="117" spans="1:27" x14ac:dyDescent="0.25">
      <c r="A117" s="98">
        <f>EDATE($C$8,42)</f>
        <v>1277</v>
      </c>
      <c r="B117" s="99">
        <f>EDATE($C$8,43)-1</f>
        <v>1307</v>
      </c>
      <c r="C117" s="92">
        <f t="shared" si="10"/>
        <v>43</v>
      </c>
      <c r="D117" s="100">
        <f t="shared" si="0"/>
        <v>4</v>
      </c>
      <c r="E117" s="101">
        <f t="shared" si="1"/>
        <v>0</v>
      </c>
      <c r="F117" s="94">
        <f t="shared" si="11"/>
        <v>0</v>
      </c>
      <c r="G117" s="95">
        <f t="shared" si="12"/>
        <v>0</v>
      </c>
      <c r="H117" s="94">
        <f t="shared" si="2"/>
        <v>0</v>
      </c>
      <c r="I117" s="94">
        <f t="shared" si="3"/>
        <v>0</v>
      </c>
      <c r="J117" s="94">
        <f t="shared" si="4"/>
        <v>0</v>
      </c>
      <c r="K117" s="94">
        <f t="shared" si="5"/>
        <v>0</v>
      </c>
      <c r="L117" s="94">
        <f t="shared" si="6"/>
        <v>0</v>
      </c>
      <c r="M117" s="94">
        <f t="shared" si="7"/>
        <v>0</v>
      </c>
      <c r="N117" s="101">
        <f t="shared" si="8"/>
        <v>0</v>
      </c>
      <c r="O117" s="102">
        <f t="shared" si="9"/>
        <v>0</v>
      </c>
      <c r="P117" s="101">
        <f>MAX(SUM(N117:N198)+S117,0)</f>
        <v>0</v>
      </c>
      <c r="Q117" s="101">
        <f>SUM(F117:F198)</f>
        <v>0</v>
      </c>
      <c r="R117" s="101">
        <f>SUM(M117:M198)</f>
        <v>0</v>
      </c>
      <c r="S117" s="103">
        <f>SUMPRODUCT(($C$55:$C$67)*($D$55:$D$67&gt;=$A117))</f>
        <v>0</v>
      </c>
      <c r="T117" s="150">
        <f>IF(C117&gt;$C$10,0,IF(AND($C$38&gt;0,A117&gt;=$C$38,EOMONTH(A117,0)&lt;=$C$39),E117*(1-$C$40)*(1-G$15),E117*(1-G$15)))+M117</f>
        <v>0</v>
      </c>
      <c r="U117" s="150">
        <f>IF(C117&gt;$C$10,0,IF(AND($C$38&gt;0,A117&gt;=$C$38,EOMONTH(A117,0)&lt;=$C$39),E117*(1-$C$40)*(1-H$15),E117*(1-H$15)))+M117</f>
        <v>0</v>
      </c>
      <c r="V117" s="150">
        <f>IF(C117&gt;$C$10,0,IF(AND($C$38&gt;0,A117&gt;=$C$38,EOMONTH(A117,0)&lt;=$C$39),E117*(1-$C$40)*(1-I$15),E117*(1-I$15)))+M117</f>
        <v>0</v>
      </c>
      <c r="W117" s="181">
        <f>IF(C117&gt;$C$10,0,IF(AND($C$38&gt;0,A117&gt;=$C$38,EOMONTH(A117,0)&lt;=$C$39),E117*(1-$C$40)*(1-F$34),E117*(1-F$34)))+M117</f>
        <v>0</v>
      </c>
      <c r="X117" s="179">
        <f>IF(C117&gt;$C$10,0,IF(AND($C$38&gt;0,A117&gt;=$C$38,EOMONTH(A117,0)&lt;=$C$39),E117*(1-$C$40)*(1-G$34),E117*(1-G$34)))+M117</f>
        <v>0</v>
      </c>
      <c r="Y117" s="178">
        <f>IF(C117&gt;$C$10,0,IF(AND($C$38&gt;0,A117&gt;=$C$38,EOMONTH(A117,0)&lt;=$C$39),E117*(1-$C$40)*(1-H$34),E117*(1-H$34)))+M117</f>
        <v>0</v>
      </c>
      <c r="Z117" s="179">
        <f>IF(C117&gt;$C$10,0,IF(AND($C$38&gt;0,A117&gt;=$C$38,EOMONTH(A117,0)&lt;=$C$39),E117*(1-$C$40)*(1-I$34),E117*(1-I$34)))+M117</f>
        <v>0</v>
      </c>
      <c r="AA117" s="180">
        <f>IF(C117&gt;$C$10,0,IF(AND($C$38&gt;0,A117&gt;=$C$38,EOMONTH(A117,0)&lt;=$C$39),E117*(1-$C$40)*(1-J$34),E117*(1-J$34)))+M117</f>
        <v>0</v>
      </c>
    </row>
    <row r="118" spans="1:27" x14ac:dyDescent="0.25">
      <c r="A118" s="104">
        <f>EDATE($C$8,43)</f>
        <v>1308</v>
      </c>
      <c r="B118" s="105">
        <f>EDATE($C$8,44)-1</f>
        <v>1338</v>
      </c>
      <c r="C118" s="92">
        <f t="shared" si="10"/>
        <v>44</v>
      </c>
      <c r="D118" s="106">
        <f t="shared" si="0"/>
        <v>4</v>
      </c>
      <c r="E118" s="107">
        <f t="shared" si="1"/>
        <v>0</v>
      </c>
      <c r="F118" s="94">
        <f t="shared" si="11"/>
        <v>0</v>
      </c>
      <c r="G118" s="95">
        <f t="shared" si="12"/>
        <v>0</v>
      </c>
      <c r="H118" s="94">
        <f t="shared" si="2"/>
        <v>0</v>
      </c>
      <c r="I118" s="94">
        <f t="shared" si="3"/>
        <v>0</v>
      </c>
      <c r="J118" s="94">
        <f t="shared" si="4"/>
        <v>0</v>
      </c>
      <c r="K118" s="94">
        <f t="shared" si="5"/>
        <v>0</v>
      </c>
      <c r="L118" s="94">
        <f t="shared" si="6"/>
        <v>0</v>
      </c>
      <c r="M118" s="94">
        <f t="shared" si="7"/>
        <v>0</v>
      </c>
      <c r="N118" s="107">
        <f t="shared" si="8"/>
        <v>0</v>
      </c>
      <c r="O118" s="108">
        <f t="shared" si="9"/>
        <v>0</v>
      </c>
      <c r="P118" s="107">
        <f>MAX(SUM(N118:N198)+S118,0)</f>
        <v>0</v>
      </c>
      <c r="Q118" s="107">
        <f>SUM(F118:F198)</f>
        <v>0</v>
      </c>
      <c r="R118" s="107">
        <f>SUM(M118:M198)</f>
        <v>0</v>
      </c>
      <c r="S118" s="109">
        <f>SUMPRODUCT(($C$55:$C$67)*($D$55:$D$67&gt;=$A118))</f>
        <v>0</v>
      </c>
      <c r="T118" s="150">
        <f>IF(C118&gt;$C$10,0,IF(AND($C$38&gt;0,A118&gt;=$C$38,EOMONTH(A118,0)&lt;=$C$39),E118*(1-$C$40)*(1-G$15),E118*(1-G$15)))+M118</f>
        <v>0</v>
      </c>
      <c r="U118" s="150">
        <f>IF(C118&gt;$C$10,0,IF(AND($C$38&gt;0,A118&gt;=$C$38,EOMONTH(A118,0)&lt;=$C$39),E118*(1-$C$40)*(1-H$15),E118*(1-H$15)))+M118</f>
        <v>0</v>
      </c>
      <c r="V118" s="150">
        <f>IF(C118&gt;$C$10,0,IF(AND($C$38&gt;0,A118&gt;=$C$38,EOMONTH(A118,0)&lt;=$C$39),E118*(1-$C$40)*(1-I$15),E118*(1-I$15)))+M118</f>
        <v>0</v>
      </c>
      <c r="W118" s="181">
        <f>IF(C118&gt;$C$10,0,IF(AND($C$38&gt;0,A118&gt;=$C$38,EOMONTH(A118,0)&lt;=$C$39),E118*(1-$C$40)*(1-F$34),E118*(1-F$34)))+M118</f>
        <v>0</v>
      </c>
      <c r="X118" s="179">
        <f>IF(C118&gt;$C$10,0,IF(AND($C$38&gt;0,A118&gt;=$C$38,EOMONTH(A118,0)&lt;=$C$39),E118*(1-$C$40)*(1-G$34),E118*(1-G$34)))+M118</f>
        <v>0</v>
      </c>
      <c r="Y118" s="178">
        <f>IF(C118&gt;$C$10,0,IF(AND($C$38&gt;0,A118&gt;=$C$38,EOMONTH(A118,0)&lt;=$C$39),E118*(1-$C$40)*(1-H$34),E118*(1-H$34)))+M118</f>
        <v>0</v>
      </c>
      <c r="Z118" s="179">
        <f>IF(C118&gt;$C$10,0,IF(AND($C$38&gt;0,A118&gt;=$C$38,EOMONTH(A118,0)&lt;=$C$39),E118*(1-$C$40)*(1-I$34),E118*(1-I$34)))+M118</f>
        <v>0</v>
      </c>
      <c r="AA118" s="180">
        <f>IF(C118&gt;$C$10,0,IF(AND($C$38&gt;0,A118&gt;=$C$38,EOMONTH(A118,0)&lt;=$C$39),E118*(1-$C$40)*(1-J$34),E118*(1-J$34)))+M118</f>
        <v>0</v>
      </c>
    </row>
    <row r="119" spans="1:27" x14ac:dyDescent="0.25">
      <c r="A119" s="98">
        <f>EDATE($C$8,44)</f>
        <v>1339</v>
      </c>
      <c r="B119" s="99">
        <f>EDATE($C$8,45)-1</f>
        <v>1368</v>
      </c>
      <c r="C119" s="92">
        <f t="shared" si="10"/>
        <v>45</v>
      </c>
      <c r="D119" s="100">
        <f t="shared" si="0"/>
        <v>4</v>
      </c>
      <c r="E119" s="101">
        <f t="shared" si="1"/>
        <v>0</v>
      </c>
      <c r="F119" s="94">
        <f t="shared" si="11"/>
        <v>0</v>
      </c>
      <c r="G119" s="95">
        <f t="shared" si="12"/>
        <v>0</v>
      </c>
      <c r="H119" s="94">
        <f t="shared" si="2"/>
        <v>0</v>
      </c>
      <c r="I119" s="94">
        <f t="shared" si="3"/>
        <v>0</v>
      </c>
      <c r="J119" s="94">
        <f t="shared" si="4"/>
        <v>0</v>
      </c>
      <c r="K119" s="94">
        <f t="shared" si="5"/>
        <v>0</v>
      </c>
      <c r="L119" s="94">
        <f t="shared" si="6"/>
        <v>0</v>
      </c>
      <c r="M119" s="94">
        <f t="shared" si="7"/>
        <v>0</v>
      </c>
      <c r="N119" s="101">
        <f t="shared" si="8"/>
        <v>0</v>
      </c>
      <c r="O119" s="102">
        <f t="shared" si="9"/>
        <v>0</v>
      </c>
      <c r="P119" s="101">
        <f>MAX(SUM(N119:N198)+S119,0)</f>
        <v>0</v>
      </c>
      <c r="Q119" s="101">
        <f>SUM(F119:F198)</f>
        <v>0</v>
      </c>
      <c r="R119" s="101">
        <f>SUM(M119:M198)</f>
        <v>0</v>
      </c>
      <c r="S119" s="103">
        <f>SUMPRODUCT(($C$55:$C$67)*($D$55:$D$67&gt;=$A119))</f>
        <v>0</v>
      </c>
      <c r="T119" s="150">
        <f>IF(C119&gt;$C$10,0,IF(AND($C$38&gt;0,A119&gt;=$C$38,EOMONTH(A119,0)&lt;=$C$39),E119*(1-$C$40)*(1-G$15),E119*(1-G$15)))+M119</f>
        <v>0</v>
      </c>
      <c r="U119" s="150">
        <f>IF(C119&gt;$C$10,0,IF(AND($C$38&gt;0,A119&gt;=$C$38,EOMONTH(A119,0)&lt;=$C$39),E119*(1-$C$40)*(1-H$15),E119*(1-H$15)))+M119</f>
        <v>0</v>
      </c>
      <c r="V119" s="150">
        <f>IF(C119&gt;$C$10,0,IF(AND($C$38&gt;0,A119&gt;=$C$38,EOMONTH(A119,0)&lt;=$C$39),E119*(1-$C$40)*(1-I$15),E119*(1-I$15)))+M119</f>
        <v>0</v>
      </c>
      <c r="W119" s="181">
        <f>IF(C119&gt;$C$10,0,IF(AND($C$38&gt;0,A119&gt;=$C$38,EOMONTH(A119,0)&lt;=$C$39),E119*(1-$C$40)*(1-F$34),E119*(1-F$34)))+M119</f>
        <v>0</v>
      </c>
      <c r="X119" s="179">
        <f>IF(C119&gt;$C$10,0,IF(AND($C$38&gt;0,A119&gt;=$C$38,EOMONTH(A119,0)&lt;=$C$39),E119*(1-$C$40)*(1-G$34),E119*(1-G$34)))+M119</f>
        <v>0</v>
      </c>
      <c r="Y119" s="178">
        <f>IF(C119&gt;$C$10,0,IF(AND($C$38&gt;0,A119&gt;=$C$38,EOMONTH(A119,0)&lt;=$C$39),E119*(1-$C$40)*(1-H$34),E119*(1-H$34)))+M119</f>
        <v>0</v>
      </c>
      <c r="Z119" s="179">
        <f>IF(C119&gt;$C$10,0,IF(AND($C$38&gt;0,A119&gt;=$C$38,EOMONTH(A119,0)&lt;=$C$39),E119*(1-$C$40)*(1-I$34),E119*(1-I$34)))+M119</f>
        <v>0</v>
      </c>
      <c r="AA119" s="180">
        <f>IF(C119&gt;$C$10,0,IF(AND($C$38&gt;0,A119&gt;=$C$38,EOMONTH(A119,0)&lt;=$C$39),E119*(1-$C$40)*(1-J$34),E119*(1-J$34)))+M119</f>
        <v>0</v>
      </c>
    </row>
    <row r="120" spans="1:27" x14ac:dyDescent="0.25">
      <c r="A120" s="104">
        <f>EDATE($C$8,45)</f>
        <v>1369</v>
      </c>
      <c r="B120" s="105">
        <f>EDATE($C$8,46)-1</f>
        <v>1399</v>
      </c>
      <c r="C120" s="92">
        <f t="shared" si="10"/>
        <v>46</v>
      </c>
      <c r="D120" s="106">
        <f t="shared" si="0"/>
        <v>4</v>
      </c>
      <c r="E120" s="107">
        <f t="shared" si="1"/>
        <v>0</v>
      </c>
      <c r="F120" s="94">
        <f t="shared" si="11"/>
        <v>0</v>
      </c>
      <c r="G120" s="95">
        <f t="shared" si="12"/>
        <v>0</v>
      </c>
      <c r="H120" s="94">
        <f t="shared" si="2"/>
        <v>0</v>
      </c>
      <c r="I120" s="94">
        <f t="shared" si="3"/>
        <v>0</v>
      </c>
      <c r="J120" s="94">
        <f t="shared" si="4"/>
        <v>0</v>
      </c>
      <c r="K120" s="94">
        <f t="shared" si="5"/>
        <v>0</v>
      </c>
      <c r="L120" s="94">
        <f t="shared" si="6"/>
        <v>0</v>
      </c>
      <c r="M120" s="94">
        <f t="shared" si="7"/>
        <v>0</v>
      </c>
      <c r="N120" s="107">
        <f t="shared" si="8"/>
        <v>0</v>
      </c>
      <c r="O120" s="108">
        <f t="shared" si="9"/>
        <v>0</v>
      </c>
      <c r="P120" s="107">
        <f>MAX(SUM(N120:N198)+S120,0)</f>
        <v>0</v>
      </c>
      <c r="Q120" s="107">
        <f>SUM(F120:F198)</f>
        <v>0</v>
      </c>
      <c r="R120" s="107">
        <f>SUM(M120:M198)</f>
        <v>0</v>
      </c>
      <c r="S120" s="109">
        <f>SUMPRODUCT(($C$55:$C$67)*($D$55:$D$67&gt;=$A120))</f>
        <v>0</v>
      </c>
      <c r="T120" s="150">
        <f>IF(C120&gt;$C$10,0,IF(AND($C$38&gt;0,A120&gt;=$C$38,EOMONTH(A120,0)&lt;=$C$39),E120*(1-$C$40)*(1-G$15),E120*(1-G$15)))+M120</f>
        <v>0</v>
      </c>
      <c r="U120" s="150">
        <f>IF(C120&gt;$C$10,0,IF(AND($C$38&gt;0,A120&gt;=$C$38,EOMONTH(A120,0)&lt;=$C$39),E120*(1-$C$40)*(1-H$15),E120*(1-H$15)))+M120</f>
        <v>0</v>
      </c>
      <c r="V120" s="150">
        <f>IF(C120&gt;$C$10,0,IF(AND($C$38&gt;0,A120&gt;=$C$38,EOMONTH(A120,0)&lt;=$C$39),E120*(1-$C$40)*(1-I$15),E120*(1-I$15)))+M120</f>
        <v>0</v>
      </c>
      <c r="W120" s="181">
        <f>IF(C120&gt;$C$10,0,IF(AND($C$38&gt;0,A120&gt;=$C$38,EOMONTH(A120,0)&lt;=$C$39),E120*(1-$C$40)*(1-F$34),E120*(1-F$34)))+M120</f>
        <v>0</v>
      </c>
      <c r="X120" s="179">
        <f>IF(C120&gt;$C$10,0,IF(AND($C$38&gt;0,A120&gt;=$C$38,EOMONTH(A120,0)&lt;=$C$39),E120*(1-$C$40)*(1-G$34),E120*(1-G$34)))+M120</f>
        <v>0</v>
      </c>
      <c r="Y120" s="178">
        <f>IF(C120&gt;$C$10,0,IF(AND($C$38&gt;0,A120&gt;=$C$38,EOMONTH(A120,0)&lt;=$C$39),E120*(1-$C$40)*(1-H$34),E120*(1-H$34)))+M120</f>
        <v>0</v>
      </c>
      <c r="Z120" s="179">
        <f>IF(C120&gt;$C$10,0,IF(AND($C$38&gt;0,A120&gt;=$C$38,EOMONTH(A120,0)&lt;=$C$39),E120*(1-$C$40)*(1-I$34),E120*(1-I$34)))+M120</f>
        <v>0</v>
      </c>
      <c r="AA120" s="180">
        <f>IF(C120&gt;$C$10,0,IF(AND($C$38&gt;0,A120&gt;=$C$38,EOMONTH(A120,0)&lt;=$C$39),E120*(1-$C$40)*(1-J$34),E120*(1-J$34)))+M120</f>
        <v>0</v>
      </c>
    </row>
    <row r="121" spans="1:27" x14ac:dyDescent="0.25">
      <c r="A121" s="98">
        <f>EDATE($C$8,46)</f>
        <v>1400</v>
      </c>
      <c r="B121" s="99">
        <f>EDATE($C$8,47)-1</f>
        <v>1429</v>
      </c>
      <c r="C121" s="92">
        <f t="shared" si="10"/>
        <v>47</v>
      </c>
      <c r="D121" s="100">
        <f t="shared" si="0"/>
        <v>4</v>
      </c>
      <c r="E121" s="101">
        <f t="shared" si="1"/>
        <v>0</v>
      </c>
      <c r="F121" s="94">
        <f t="shared" si="11"/>
        <v>0</v>
      </c>
      <c r="G121" s="95">
        <f t="shared" si="12"/>
        <v>0</v>
      </c>
      <c r="H121" s="94">
        <f t="shared" si="2"/>
        <v>0</v>
      </c>
      <c r="I121" s="94">
        <f t="shared" si="3"/>
        <v>0</v>
      </c>
      <c r="J121" s="94">
        <f t="shared" si="4"/>
        <v>0</v>
      </c>
      <c r="K121" s="94">
        <f t="shared" si="5"/>
        <v>0</v>
      </c>
      <c r="L121" s="94">
        <f t="shared" si="6"/>
        <v>0</v>
      </c>
      <c r="M121" s="94">
        <f t="shared" si="7"/>
        <v>0</v>
      </c>
      <c r="N121" s="101">
        <f t="shared" si="8"/>
        <v>0</v>
      </c>
      <c r="O121" s="102">
        <f t="shared" si="9"/>
        <v>0</v>
      </c>
      <c r="P121" s="101">
        <f>MAX(SUM(N121:N198)+S121,0)</f>
        <v>0</v>
      </c>
      <c r="Q121" s="101">
        <f>SUM(F121:F198)</f>
        <v>0</v>
      </c>
      <c r="R121" s="101">
        <f>SUM(M121:M198)</f>
        <v>0</v>
      </c>
      <c r="S121" s="103">
        <f>SUMPRODUCT(($C$55:$C$67)*($D$55:$D$67&gt;=$A121))</f>
        <v>0</v>
      </c>
      <c r="T121" s="150">
        <f>IF(C121&gt;$C$10,0,IF(AND($C$38&gt;0,A121&gt;=$C$38,EOMONTH(A121,0)&lt;=$C$39),E121*(1-$C$40)*(1-G$15),E121*(1-G$15)))+M121</f>
        <v>0</v>
      </c>
      <c r="U121" s="150">
        <f>IF(C121&gt;$C$10,0,IF(AND($C$38&gt;0,A121&gt;=$C$38,EOMONTH(A121,0)&lt;=$C$39),E121*(1-$C$40)*(1-H$15),E121*(1-H$15)))+M121</f>
        <v>0</v>
      </c>
      <c r="V121" s="150">
        <f>IF(C121&gt;$C$10,0,IF(AND($C$38&gt;0,A121&gt;=$C$38,EOMONTH(A121,0)&lt;=$C$39),E121*(1-$C$40)*(1-I$15),E121*(1-I$15)))+M121</f>
        <v>0</v>
      </c>
      <c r="W121" s="181">
        <f>IF(C121&gt;$C$10,0,IF(AND($C$38&gt;0,A121&gt;=$C$38,EOMONTH(A121,0)&lt;=$C$39),E121*(1-$C$40)*(1-F$34),E121*(1-F$34)))+M121</f>
        <v>0</v>
      </c>
      <c r="X121" s="179">
        <f>IF(C121&gt;$C$10,0,IF(AND($C$38&gt;0,A121&gt;=$C$38,EOMONTH(A121,0)&lt;=$C$39),E121*(1-$C$40)*(1-G$34),E121*(1-G$34)))+M121</f>
        <v>0</v>
      </c>
      <c r="Y121" s="178">
        <f>IF(C121&gt;$C$10,0,IF(AND($C$38&gt;0,A121&gt;=$C$38,EOMONTH(A121,0)&lt;=$C$39),E121*(1-$C$40)*(1-H$34),E121*(1-H$34)))+M121</f>
        <v>0</v>
      </c>
      <c r="Z121" s="179">
        <f>IF(C121&gt;$C$10,0,IF(AND($C$38&gt;0,A121&gt;=$C$38,EOMONTH(A121,0)&lt;=$C$39),E121*(1-$C$40)*(1-I$34),E121*(1-I$34)))+M121</f>
        <v>0</v>
      </c>
      <c r="AA121" s="180">
        <f>IF(C121&gt;$C$10,0,IF(AND($C$38&gt;0,A121&gt;=$C$38,EOMONTH(A121,0)&lt;=$C$39),E121*(1-$C$40)*(1-J$34),E121*(1-J$34)))+M121</f>
        <v>0</v>
      </c>
    </row>
    <row r="122" spans="1:27" x14ac:dyDescent="0.25">
      <c r="A122" s="104">
        <f>EDATE($C$8,47)</f>
        <v>1430</v>
      </c>
      <c r="B122" s="105">
        <f>EDATE($C$8,48)-1</f>
        <v>1460</v>
      </c>
      <c r="C122" s="92">
        <f t="shared" si="10"/>
        <v>48</v>
      </c>
      <c r="D122" s="106">
        <f t="shared" si="0"/>
        <v>4</v>
      </c>
      <c r="E122" s="107">
        <f t="shared" si="1"/>
        <v>0</v>
      </c>
      <c r="F122" s="94">
        <f t="shared" si="11"/>
        <v>0</v>
      </c>
      <c r="G122" s="95">
        <f t="shared" si="12"/>
        <v>0</v>
      </c>
      <c r="H122" s="94">
        <f t="shared" si="2"/>
        <v>0</v>
      </c>
      <c r="I122" s="94">
        <f t="shared" si="3"/>
        <v>0</v>
      </c>
      <c r="J122" s="94">
        <f t="shared" si="4"/>
        <v>0</v>
      </c>
      <c r="K122" s="94">
        <f t="shared" si="5"/>
        <v>0</v>
      </c>
      <c r="L122" s="94">
        <f t="shared" si="6"/>
        <v>0</v>
      </c>
      <c r="M122" s="94">
        <f t="shared" si="7"/>
        <v>0</v>
      </c>
      <c r="N122" s="107">
        <f t="shared" si="8"/>
        <v>0</v>
      </c>
      <c r="O122" s="108">
        <f t="shared" si="9"/>
        <v>0</v>
      </c>
      <c r="P122" s="107">
        <f>MAX(SUM(N122:N198)+S122,0)</f>
        <v>0</v>
      </c>
      <c r="Q122" s="107">
        <f>SUM(F122:F198)</f>
        <v>0</v>
      </c>
      <c r="R122" s="107">
        <f>SUM(M122:M198)</f>
        <v>0</v>
      </c>
      <c r="S122" s="109">
        <f>SUMPRODUCT(($C$55:$C$67)*($D$55:$D$67&gt;=$A122))</f>
        <v>0</v>
      </c>
      <c r="T122" s="150">
        <f>IF(C122&gt;$C$10,0,IF(AND($C$38&gt;0,A122&gt;=$C$38,EOMONTH(A122,0)&lt;=$C$39),E122*(1-$C$40)*(1-G$15),E122*(1-G$15)))+M122</f>
        <v>0</v>
      </c>
      <c r="U122" s="150">
        <f>IF(C122&gt;$C$10,0,IF(AND($C$38&gt;0,A122&gt;=$C$38,EOMONTH(A122,0)&lt;=$C$39),E122*(1-$C$40)*(1-H$15),E122*(1-H$15)))+M122</f>
        <v>0</v>
      </c>
      <c r="V122" s="150">
        <f>IF(C122&gt;$C$10,0,IF(AND($C$38&gt;0,A122&gt;=$C$38,EOMONTH(A122,0)&lt;=$C$39),E122*(1-$C$40)*(1-I$15),E122*(1-I$15)))+M122</f>
        <v>0</v>
      </c>
      <c r="W122" s="181">
        <f>IF(C122&gt;$C$10,0,IF(AND($C$38&gt;0,A122&gt;=$C$38,EOMONTH(A122,0)&lt;=$C$39),E122*(1-$C$40)*(1-F$34),E122*(1-F$34)))+M122</f>
        <v>0</v>
      </c>
      <c r="X122" s="179">
        <f>IF(C122&gt;$C$10,0,IF(AND($C$38&gt;0,A122&gt;=$C$38,EOMONTH(A122,0)&lt;=$C$39),E122*(1-$C$40)*(1-G$34),E122*(1-G$34)))+M122</f>
        <v>0</v>
      </c>
      <c r="Y122" s="178">
        <f>IF(C122&gt;$C$10,0,IF(AND($C$38&gt;0,A122&gt;=$C$38,EOMONTH(A122,0)&lt;=$C$39),E122*(1-$C$40)*(1-H$34),E122*(1-H$34)))+M122</f>
        <v>0</v>
      </c>
      <c r="Z122" s="179">
        <f>IF(C122&gt;$C$10,0,IF(AND($C$38&gt;0,A122&gt;=$C$38,EOMONTH(A122,0)&lt;=$C$39),E122*(1-$C$40)*(1-I$34),E122*(1-I$34)))+M122</f>
        <v>0</v>
      </c>
      <c r="AA122" s="180">
        <f>IF(C122&gt;$C$10,0,IF(AND($C$38&gt;0,A122&gt;=$C$38,EOMONTH(A122,0)&lt;=$C$39),E122*(1-$C$40)*(1-J$34),E122*(1-J$34)))+M122</f>
        <v>0</v>
      </c>
    </row>
    <row r="123" spans="1:27" x14ac:dyDescent="0.25">
      <c r="A123" s="98">
        <f>EDATE($C$8,48)</f>
        <v>1461</v>
      </c>
      <c r="B123" s="99">
        <f>EDATE($C$8,49)-1</f>
        <v>1491</v>
      </c>
      <c r="C123" s="92">
        <f t="shared" si="10"/>
        <v>49</v>
      </c>
      <c r="D123" s="100">
        <f t="shared" si="0"/>
        <v>5</v>
      </c>
      <c r="E123" s="101">
        <f t="shared" si="1"/>
        <v>0</v>
      </c>
      <c r="F123" s="94">
        <f t="shared" si="11"/>
        <v>0</v>
      </c>
      <c r="G123" s="95">
        <f t="shared" si="12"/>
        <v>0</v>
      </c>
      <c r="H123" s="94">
        <f t="shared" si="2"/>
        <v>0</v>
      </c>
      <c r="I123" s="94">
        <f t="shared" si="3"/>
        <v>0</v>
      </c>
      <c r="J123" s="94">
        <f t="shared" si="4"/>
        <v>0</v>
      </c>
      <c r="K123" s="94">
        <f t="shared" si="5"/>
        <v>0</v>
      </c>
      <c r="L123" s="94">
        <f t="shared" si="6"/>
        <v>0</v>
      </c>
      <c r="M123" s="94">
        <f t="shared" si="7"/>
        <v>0</v>
      </c>
      <c r="N123" s="101">
        <f t="shared" si="8"/>
        <v>0</v>
      </c>
      <c r="O123" s="102">
        <f t="shared" si="9"/>
        <v>0</v>
      </c>
      <c r="P123" s="101">
        <f>MAX(SUM(N123:N198)+S123,0)</f>
        <v>0</v>
      </c>
      <c r="Q123" s="101">
        <f>SUM(F123:F198)</f>
        <v>0</v>
      </c>
      <c r="R123" s="101">
        <f>SUM(M123:M198)</f>
        <v>0</v>
      </c>
      <c r="S123" s="103">
        <f>SUMPRODUCT(($C$55:$C$67)*($D$55:$D$67&gt;=$A123))</f>
        <v>0</v>
      </c>
      <c r="T123" s="150">
        <f>IF(C123&gt;$C$10,0,IF(AND($C$38&gt;0,A123&gt;=$C$38,EOMONTH(A123,0)&lt;=$C$39),E123*(1-$C$40)*(1-G$15),E123*(1-G$15)))+M123</f>
        <v>0</v>
      </c>
      <c r="U123" s="150">
        <f>IF(C123&gt;$C$10,0,IF(AND($C$38&gt;0,A123&gt;=$C$38,EOMONTH(A123,0)&lt;=$C$39),E123*(1-$C$40)*(1-H$15),E123*(1-H$15)))+M123</f>
        <v>0</v>
      </c>
      <c r="V123" s="150">
        <f>IF(C123&gt;$C$10,0,IF(AND($C$38&gt;0,A123&gt;=$C$38,EOMONTH(A123,0)&lt;=$C$39),E123*(1-$C$40)*(1-I$15),E123*(1-I$15)))+M123</f>
        <v>0</v>
      </c>
      <c r="W123" s="181">
        <f>IF(C123&gt;$C$10,0,IF(AND($C$38&gt;0,A123&gt;=$C$38,EOMONTH(A123,0)&lt;=$C$39),E123*(1-$C$40)*(1-F$34),E123*(1-F$34)))+M123</f>
        <v>0</v>
      </c>
      <c r="X123" s="179">
        <f>IF(C123&gt;$C$10,0,IF(AND($C$38&gt;0,A123&gt;=$C$38,EOMONTH(A123,0)&lt;=$C$39),E123*(1-$C$40)*(1-G$34),E123*(1-G$34)))+M123</f>
        <v>0</v>
      </c>
      <c r="Y123" s="178">
        <f>IF(C123&gt;$C$10,0,IF(AND($C$38&gt;0,A123&gt;=$C$38,EOMONTH(A123,0)&lt;=$C$39),E123*(1-$C$40)*(1-H$34),E123*(1-H$34)))+M123</f>
        <v>0</v>
      </c>
      <c r="Z123" s="179">
        <f>IF(C123&gt;$C$10,0,IF(AND($C$38&gt;0,A123&gt;=$C$38,EOMONTH(A123,0)&lt;=$C$39),E123*(1-$C$40)*(1-I$34),E123*(1-I$34)))+M123</f>
        <v>0</v>
      </c>
      <c r="AA123" s="180">
        <f>IF(C123&gt;$C$10,0,IF(AND($C$38&gt;0,A123&gt;=$C$38,EOMONTH(A123,0)&lt;=$C$39),E123*(1-$C$40)*(1-J$34),E123*(1-J$34)))+M123</f>
        <v>0</v>
      </c>
    </row>
    <row r="124" spans="1:27" x14ac:dyDescent="0.25">
      <c r="A124" s="104">
        <f>EDATE($C$8,49)</f>
        <v>1492</v>
      </c>
      <c r="B124" s="105">
        <f>EDATE($C$8,50)-1</f>
        <v>1520</v>
      </c>
      <c r="C124" s="92">
        <f t="shared" si="10"/>
        <v>50</v>
      </c>
      <c r="D124" s="106">
        <f t="shared" si="0"/>
        <v>5</v>
      </c>
      <c r="E124" s="107">
        <f t="shared" si="1"/>
        <v>0</v>
      </c>
      <c r="F124" s="94">
        <f t="shared" si="11"/>
        <v>0</v>
      </c>
      <c r="G124" s="95">
        <f t="shared" si="12"/>
        <v>0</v>
      </c>
      <c r="H124" s="94">
        <f t="shared" si="2"/>
        <v>0</v>
      </c>
      <c r="I124" s="94">
        <f t="shared" si="3"/>
        <v>0</v>
      </c>
      <c r="J124" s="94">
        <f t="shared" si="4"/>
        <v>0</v>
      </c>
      <c r="K124" s="94">
        <f t="shared" si="5"/>
        <v>0</v>
      </c>
      <c r="L124" s="94">
        <f t="shared" si="6"/>
        <v>0</v>
      </c>
      <c r="M124" s="94">
        <f t="shared" si="7"/>
        <v>0</v>
      </c>
      <c r="N124" s="107">
        <f t="shared" si="8"/>
        <v>0</v>
      </c>
      <c r="O124" s="108">
        <f t="shared" si="9"/>
        <v>0</v>
      </c>
      <c r="P124" s="107">
        <f>MAX(SUM(N124:N198)+S124,0)</f>
        <v>0</v>
      </c>
      <c r="Q124" s="107">
        <f>SUM(F124:F198)</f>
        <v>0</v>
      </c>
      <c r="R124" s="107">
        <f>SUM(M124:M198)</f>
        <v>0</v>
      </c>
      <c r="S124" s="109">
        <f>SUMPRODUCT(($C$55:$C$67)*($D$55:$D$67&gt;=$A124))</f>
        <v>0</v>
      </c>
      <c r="T124" s="150">
        <f>IF(C124&gt;$C$10,0,IF(AND($C$38&gt;0,A124&gt;=$C$38,EOMONTH(A124,0)&lt;=$C$39),E124*(1-$C$40)*(1-G$15),E124*(1-G$15)))+M124</f>
        <v>0</v>
      </c>
      <c r="U124" s="150">
        <f>IF(C124&gt;$C$10,0,IF(AND($C$38&gt;0,A124&gt;=$C$38,EOMONTH(A124,0)&lt;=$C$39),E124*(1-$C$40)*(1-H$15),E124*(1-H$15)))+M124</f>
        <v>0</v>
      </c>
      <c r="V124" s="150">
        <f>IF(C124&gt;$C$10,0,IF(AND($C$38&gt;0,A124&gt;=$C$38,EOMONTH(A124,0)&lt;=$C$39),E124*(1-$C$40)*(1-I$15),E124*(1-I$15)))+M124</f>
        <v>0</v>
      </c>
      <c r="W124" s="181">
        <f>IF(C124&gt;$C$10,0,IF(AND($C$38&gt;0,A124&gt;=$C$38,EOMONTH(A124,0)&lt;=$C$39),E124*(1-$C$40)*(1-F$34),E124*(1-F$34)))+M124</f>
        <v>0</v>
      </c>
      <c r="X124" s="179">
        <f>IF(C124&gt;$C$10,0,IF(AND($C$38&gt;0,A124&gt;=$C$38,EOMONTH(A124,0)&lt;=$C$39),E124*(1-$C$40)*(1-G$34),E124*(1-G$34)))+M124</f>
        <v>0</v>
      </c>
      <c r="Y124" s="178">
        <f>IF(C124&gt;$C$10,0,IF(AND($C$38&gt;0,A124&gt;=$C$38,EOMONTH(A124,0)&lt;=$C$39),E124*(1-$C$40)*(1-H$34),E124*(1-H$34)))+M124</f>
        <v>0</v>
      </c>
      <c r="Z124" s="179">
        <f>IF(C124&gt;$C$10,0,IF(AND($C$38&gt;0,A124&gt;=$C$38,EOMONTH(A124,0)&lt;=$C$39),E124*(1-$C$40)*(1-I$34),E124*(1-I$34)))+M124</f>
        <v>0</v>
      </c>
      <c r="AA124" s="180">
        <f>IF(C124&gt;$C$10,0,IF(AND($C$38&gt;0,A124&gt;=$C$38,EOMONTH(A124,0)&lt;=$C$39),E124*(1-$C$40)*(1-J$34),E124*(1-J$34)))+M124</f>
        <v>0</v>
      </c>
    </row>
    <row r="125" spans="1:27" x14ac:dyDescent="0.25">
      <c r="A125" s="98">
        <f>EDATE($C$8,50)</f>
        <v>1521</v>
      </c>
      <c r="B125" s="99">
        <f>EDATE($C$8,51)-1</f>
        <v>1551</v>
      </c>
      <c r="C125" s="92">
        <f t="shared" si="10"/>
        <v>51</v>
      </c>
      <c r="D125" s="100">
        <f t="shared" si="0"/>
        <v>5</v>
      </c>
      <c r="E125" s="101">
        <f t="shared" si="1"/>
        <v>0</v>
      </c>
      <c r="F125" s="94">
        <f t="shared" si="11"/>
        <v>0</v>
      </c>
      <c r="G125" s="95">
        <f t="shared" si="12"/>
        <v>0</v>
      </c>
      <c r="H125" s="94">
        <f t="shared" si="2"/>
        <v>0</v>
      </c>
      <c r="I125" s="94">
        <f t="shared" si="3"/>
        <v>0</v>
      </c>
      <c r="J125" s="94">
        <f t="shared" si="4"/>
        <v>0</v>
      </c>
      <c r="K125" s="94">
        <f t="shared" si="5"/>
        <v>0</v>
      </c>
      <c r="L125" s="94">
        <f t="shared" si="6"/>
        <v>0</v>
      </c>
      <c r="M125" s="94">
        <f t="shared" si="7"/>
        <v>0</v>
      </c>
      <c r="N125" s="101">
        <f t="shared" si="8"/>
        <v>0</v>
      </c>
      <c r="O125" s="102">
        <f t="shared" si="9"/>
        <v>0</v>
      </c>
      <c r="P125" s="101">
        <f>MAX(SUM(N125:N198)+S125,0)</f>
        <v>0</v>
      </c>
      <c r="Q125" s="101">
        <f>SUM(F125:F198)</f>
        <v>0</v>
      </c>
      <c r="R125" s="101">
        <f>SUM(M125:M198)</f>
        <v>0</v>
      </c>
      <c r="S125" s="103">
        <f>SUMPRODUCT(($C$55:$C$67)*($D$55:$D$67&gt;=$A125))</f>
        <v>0</v>
      </c>
      <c r="T125" s="150">
        <f>IF(C125&gt;$C$10,0,IF(AND($C$38&gt;0,A125&gt;=$C$38,EOMONTH(A125,0)&lt;=$C$39),E125*(1-$C$40)*(1-G$15),E125*(1-G$15)))+M125</f>
        <v>0</v>
      </c>
      <c r="U125" s="150">
        <f>IF(C125&gt;$C$10,0,IF(AND($C$38&gt;0,A125&gt;=$C$38,EOMONTH(A125,0)&lt;=$C$39),E125*(1-$C$40)*(1-H$15),E125*(1-H$15)))+M125</f>
        <v>0</v>
      </c>
      <c r="V125" s="150">
        <f>IF(C125&gt;$C$10,0,IF(AND($C$38&gt;0,A125&gt;=$C$38,EOMONTH(A125,0)&lt;=$C$39),E125*(1-$C$40)*(1-I$15),E125*(1-I$15)))+M125</f>
        <v>0</v>
      </c>
      <c r="W125" s="181">
        <f>IF(C125&gt;$C$10,0,IF(AND($C$38&gt;0,A125&gt;=$C$38,EOMONTH(A125,0)&lt;=$C$39),E125*(1-$C$40)*(1-F$34),E125*(1-F$34)))+M125</f>
        <v>0</v>
      </c>
      <c r="X125" s="179">
        <f>IF(C125&gt;$C$10,0,IF(AND($C$38&gt;0,A125&gt;=$C$38,EOMONTH(A125,0)&lt;=$C$39),E125*(1-$C$40)*(1-G$34),E125*(1-G$34)))+M125</f>
        <v>0</v>
      </c>
      <c r="Y125" s="178">
        <f>IF(C125&gt;$C$10,0,IF(AND($C$38&gt;0,A125&gt;=$C$38,EOMONTH(A125,0)&lt;=$C$39),E125*(1-$C$40)*(1-H$34),E125*(1-H$34)))+M125</f>
        <v>0</v>
      </c>
      <c r="Z125" s="179">
        <f>IF(C125&gt;$C$10,0,IF(AND($C$38&gt;0,A125&gt;=$C$38,EOMONTH(A125,0)&lt;=$C$39),E125*(1-$C$40)*(1-I$34),E125*(1-I$34)))+M125</f>
        <v>0</v>
      </c>
      <c r="AA125" s="180">
        <f>IF(C125&gt;$C$10,0,IF(AND($C$38&gt;0,A125&gt;=$C$38,EOMONTH(A125,0)&lt;=$C$39),E125*(1-$C$40)*(1-J$34),E125*(1-J$34)))+M125</f>
        <v>0</v>
      </c>
    </row>
    <row r="126" spans="1:27" x14ac:dyDescent="0.25">
      <c r="A126" s="104">
        <f>EDATE($C$8,51)</f>
        <v>1552</v>
      </c>
      <c r="B126" s="105">
        <f>EDATE($C$8,52)-1</f>
        <v>1581</v>
      </c>
      <c r="C126" s="92">
        <f t="shared" si="10"/>
        <v>52</v>
      </c>
      <c r="D126" s="106">
        <f t="shared" si="0"/>
        <v>5</v>
      </c>
      <c r="E126" s="107">
        <f t="shared" si="1"/>
        <v>0</v>
      </c>
      <c r="F126" s="94">
        <f t="shared" si="11"/>
        <v>0</v>
      </c>
      <c r="G126" s="95">
        <f t="shared" si="12"/>
        <v>0</v>
      </c>
      <c r="H126" s="94">
        <f t="shared" si="2"/>
        <v>0</v>
      </c>
      <c r="I126" s="94">
        <f t="shared" si="3"/>
        <v>0</v>
      </c>
      <c r="J126" s="94">
        <f t="shared" si="4"/>
        <v>0</v>
      </c>
      <c r="K126" s="94">
        <f t="shared" si="5"/>
        <v>0</v>
      </c>
      <c r="L126" s="94">
        <f t="shared" si="6"/>
        <v>0</v>
      </c>
      <c r="M126" s="94">
        <f t="shared" si="7"/>
        <v>0</v>
      </c>
      <c r="N126" s="107">
        <f t="shared" si="8"/>
        <v>0</v>
      </c>
      <c r="O126" s="108">
        <f t="shared" si="9"/>
        <v>0</v>
      </c>
      <c r="P126" s="107">
        <f>MAX(SUM(N126:N198)+S126,0)</f>
        <v>0</v>
      </c>
      <c r="Q126" s="107">
        <f>SUM(F126:F198)</f>
        <v>0</v>
      </c>
      <c r="R126" s="107">
        <f>SUM(M126:M198)</f>
        <v>0</v>
      </c>
      <c r="S126" s="109">
        <f>SUMPRODUCT(($C$55:$C$67)*($D$55:$D$67&gt;=$A126))</f>
        <v>0</v>
      </c>
      <c r="T126" s="150">
        <f>IF(C126&gt;$C$10,0,IF(AND($C$38&gt;0,A126&gt;=$C$38,EOMONTH(A126,0)&lt;=$C$39),E126*(1-$C$40)*(1-G$15),E126*(1-G$15)))+M126</f>
        <v>0</v>
      </c>
      <c r="U126" s="150">
        <f>IF(C126&gt;$C$10,0,IF(AND($C$38&gt;0,A126&gt;=$C$38,EOMONTH(A126,0)&lt;=$C$39),E126*(1-$C$40)*(1-H$15),E126*(1-H$15)))+M126</f>
        <v>0</v>
      </c>
      <c r="V126" s="150">
        <f>IF(C126&gt;$C$10,0,IF(AND($C$38&gt;0,A126&gt;=$C$38,EOMONTH(A126,0)&lt;=$C$39),E126*(1-$C$40)*(1-I$15),E126*(1-I$15)))+M126</f>
        <v>0</v>
      </c>
      <c r="W126" s="181">
        <f>IF(C126&gt;$C$10,0,IF(AND($C$38&gt;0,A126&gt;=$C$38,EOMONTH(A126,0)&lt;=$C$39),E126*(1-$C$40)*(1-F$34),E126*(1-F$34)))+M126</f>
        <v>0</v>
      </c>
      <c r="X126" s="179">
        <f>IF(C126&gt;$C$10,0,IF(AND($C$38&gt;0,A126&gt;=$C$38,EOMONTH(A126,0)&lt;=$C$39),E126*(1-$C$40)*(1-G$34),E126*(1-G$34)))+M126</f>
        <v>0</v>
      </c>
      <c r="Y126" s="178">
        <f>IF(C126&gt;$C$10,0,IF(AND($C$38&gt;0,A126&gt;=$C$38,EOMONTH(A126,0)&lt;=$C$39),E126*(1-$C$40)*(1-H$34),E126*(1-H$34)))+M126</f>
        <v>0</v>
      </c>
      <c r="Z126" s="179">
        <f>IF(C126&gt;$C$10,0,IF(AND($C$38&gt;0,A126&gt;=$C$38,EOMONTH(A126,0)&lt;=$C$39),E126*(1-$C$40)*(1-I$34),E126*(1-I$34)))+M126</f>
        <v>0</v>
      </c>
      <c r="AA126" s="180">
        <f>IF(C126&gt;$C$10,0,IF(AND($C$38&gt;0,A126&gt;=$C$38,EOMONTH(A126,0)&lt;=$C$39),E126*(1-$C$40)*(1-J$34),E126*(1-J$34)))+M126</f>
        <v>0</v>
      </c>
    </row>
    <row r="127" spans="1:27" x14ac:dyDescent="0.25">
      <c r="A127" s="98">
        <f>EDATE($C$8,52)</f>
        <v>1582</v>
      </c>
      <c r="B127" s="99">
        <f>EDATE($C$8,53)-1</f>
        <v>1612</v>
      </c>
      <c r="C127" s="92">
        <f t="shared" si="10"/>
        <v>53</v>
      </c>
      <c r="D127" s="100">
        <f t="shared" si="0"/>
        <v>5</v>
      </c>
      <c r="E127" s="101">
        <f t="shared" si="1"/>
        <v>0</v>
      </c>
      <c r="F127" s="94">
        <f t="shared" si="11"/>
        <v>0</v>
      </c>
      <c r="G127" s="95">
        <f t="shared" si="12"/>
        <v>0</v>
      </c>
      <c r="H127" s="94">
        <f t="shared" si="2"/>
        <v>0</v>
      </c>
      <c r="I127" s="94">
        <f t="shared" si="3"/>
        <v>0</v>
      </c>
      <c r="J127" s="94">
        <f t="shared" si="4"/>
        <v>0</v>
      </c>
      <c r="K127" s="94">
        <f t="shared" si="5"/>
        <v>0</v>
      </c>
      <c r="L127" s="94">
        <f t="shared" si="6"/>
        <v>0</v>
      </c>
      <c r="M127" s="94">
        <f t="shared" si="7"/>
        <v>0</v>
      </c>
      <c r="N127" s="101">
        <f t="shared" si="8"/>
        <v>0</v>
      </c>
      <c r="O127" s="102">
        <f t="shared" si="9"/>
        <v>0</v>
      </c>
      <c r="P127" s="101">
        <f>MAX(SUM(N127:N198)+S127,0)</f>
        <v>0</v>
      </c>
      <c r="Q127" s="101">
        <f>SUM(F127:F198)</f>
        <v>0</v>
      </c>
      <c r="R127" s="101">
        <f>SUM(M127:M198)</f>
        <v>0</v>
      </c>
      <c r="S127" s="103">
        <f>SUMPRODUCT(($C$55:$C$67)*($D$55:$D$67&gt;=$A127))</f>
        <v>0</v>
      </c>
      <c r="T127" s="150">
        <f>IF(C127&gt;$C$10,0,IF(AND($C$38&gt;0,A127&gt;=$C$38,EOMONTH(A127,0)&lt;=$C$39),E127*(1-$C$40)*(1-G$15),E127*(1-G$15)))+M127</f>
        <v>0</v>
      </c>
      <c r="U127" s="150">
        <f>IF(C127&gt;$C$10,0,IF(AND($C$38&gt;0,A127&gt;=$C$38,EOMONTH(A127,0)&lt;=$C$39),E127*(1-$C$40)*(1-H$15),E127*(1-H$15)))+M127</f>
        <v>0</v>
      </c>
      <c r="V127" s="150">
        <f>IF(C127&gt;$C$10,0,IF(AND($C$38&gt;0,A127&gt;=$C$38,EOMONTH(A127,0)&lt;=$C$39),E127*(1-$C$40)*(1-I$15),E127*(1-I$15)))+M127</f>
        <v>0</v>
      </c>
      <c r="W127" s="181">
        <f>IF(C127&gt;$C$10,0,IF(AND($C$38&gt;0,A127&gt;=$C$38,EOMONTH(A127,0)&lt;=$C$39),E127*(1-$C$40)*(1-F$34),E127*(1-F$34)))+M127</f>
        <v>0</v>
      </c>
      <c r="X127" s="179">
        <f>IF(C127&gt;$C$10,0,IF(AND($C$38&gt;0,A127&gt;=$C$38,EOMONTH(A127,0)&lt;=$C$39),E127*(1-$C$40)*(1-G$34),E127*(1-G$34)))+M127</f>
        <v>0</v>
      </c>
      <c r="Y127" s="178">
        <f>IF(C127&gt;$C$10,0,IF(AND($C$38&gt;0,A127&gt;=$C$38,EOMONTH(A127,0)&lt;=$C$39),E127*(1-$C$40)*(1-H$34),E127*(1-H$34)))+M127</f>
        <v>0</v>
      </c>
      <c r="Z127" s="179">
        <f>IF(C127&gt;$C$10,0,IF(AND($C$38&gt;0,A127&gt;=$C$38,EOMONTH(A127,0)&lt;=$C$39),E127*(1-$C$40)*(1-I$34),E127*(1-I$34)))+M127</f>
        <v>0</v>
      </c>
      <c r="AA127" s="180">
        <f>IF(C127&gt;$C$10,0,IF(AND($C$38&gt;0,A127&gt;=$C$38,EOMONTH(A127,0)&lt;=$C$39),E127*(1-$C$40)*(1-J$34),E127*(1-J$34)))+M127</f>
        <v>0</v>
      </c>
    </row>
    <row r="128" spans="1:27" x14ac:dyDescent="0.25">
      <c r="A128" s="104">
        <f>EDATE($C$8,53)</f>
        <v>1613</v>
      </c>
      <c r="B128" s="105">
        <f>EDATE($C$8,54)-1</f>
        <v>1642</v>
      </c>
      <c r="C128" s="92">
        <f t="shared" si="10"/>
        <v>54</v>
      </c>
      <c r="D128" s="106">
        <f t="shared" si="0"/>
        <v>5</v>
      </c>
      <c r="E128" s="107">
        <f t="shared" si="1"/>
        <v>0</v>
      </c>
      <c r="F128" s="94">
        <f t="shared" si="11"/>
        <v>0</v>
      </c>
      <c r="G128" s="95">
        <f t="shared" si="12"/>
        <v>0</v>
      </c>
      <c r="H128" s="94">
        <f t="shared" si="2"/>
        <v>0</v>
      </c>
      <c r="I128" s="94">
        <f t="shared" si="3"/>
        <v>0</v>
      </c>
      <c r="J128" s="94">
        <f t="shared" si="4"/>
        <v>0</v>
      </c>
      <c r="K128" s="94">
        <f t="shared" si="5"/>
        <v>0</v>
      </c>
      <c r="L128" s="94">
        <f t="shared" si="6"/>
        <v>0</v>
      </c>
      <c r="M128" s="94">
        <f t="shared" si="7"/>
        <v>0</v>
      </c>
      <c r="N128" s="107">
        <f t="shared" si="8"/>
        <v>0</v>
      </c>
      <c r="O128" s="108">
        <f t="shared" si="9"/>
        <v>0</v>
      </c>
      <c r="P128" s="107">
        <f>MAX(SUM(N128:N198)+S128,0)</f>
        <v>0</v>
      </c>
      <c r="Q128" s="107">
        <f>SUM(F128:F198)</f>
        <v>0</v>
      </c>
      <c r="R128" s="107">
        <f>SUM(M128:M198)</f>
        <v>0</v>
      </c>
      <c r="S128" s="109">
        <f>SUMPRODUCT(($C$55:$C$67)*($D$55:$D$67&gt;=$A128))</f>
        <v>0</v>
      </c>
      <c r="T128" s="150">
        <f>IF(C128&gt;$C$10,0,IF(AND($C$38&gt;0,A128&gt;=$C$38,EOMONTH(A128,0)&lt;=$C$39),E128*(1-$C$40)*(1-G$15),E128*(1-G$15)))+M128</f>
        <v>0</v>
      </c>
      <c r="U128" s="150">
        <f>IF(C128&gt;$C$10,0,IF(AND($C$38&gt;0,A128&gt;=$C$38,EOMONTH(A128,0)&lt;=$C$39),E128*(1-$C$40)*(1-H$15),E128*(1-H$15)))+M128</f>
        <v>0</v>
      </c>
      <c r="V128" s="150">
        <f>IF(C128&gt;$C$10,0,IF(AND($C$38&gt;0,A128&gt;=$C$38,EOMONTH(A128,0)&lt;=$C$39),E128*(1-$C$40)*(1-I$15),E128*(1-I$15)))+M128</f>
        <v>0</v>
      </c>
      <c r="W128" s="181">
        <f>IF(C128&gt;$C$10,0,IF(AND($C$38&gt;0,A128&gt;=$C$38,EOMONTH(A128,0)&lt;=$C$39),E128*(1-$C$40)*(1-F$34),E128*(1-F$34)))+M128</f>
        <v>0</v>
      </c>
      <c r="X128" s="179">
        <f>IF(C128&gt;$C$10,0,IF(AND($C$38&gt;0,A128&gt;=$C$38,EOMONTH(A128,0)&lt;=$C$39),E128*(1-$C$40)*(1-G$34),E128*(1-G$34)))+M128</f>
        <v>0</v>
      </c>
      <c r="Y128" s="178">
        <f>IF(C128&gt;$C$10,0,IF(AND($C$38&gt;0,A128&gt;=$C$38,EOMONTH(A128,0)&lt;=$C$39),E128*(1-$C$40)*(1-H$34),E128*(1-H$34)))+M128</f>
        <v>0</v>
      </c>
      <c r="Z128" s="179">
        <f>IF(C128&gt;$C$10,0,IF(AND($C$38&gt;0,A128&gt;=$C$38,EOMONTH(A128,0)&lt;=$C$39),E128*(1-$C$40)*(1-I$34),E128*(1-I$34)))+M128</f>
        <v>0</v>
      </c>
      <c r="AA128" s="180">
        <f>IF(C128&gt;$C$10,0,IF(AND($C$38&gt;0,A128&gt;=$C$38,EOMONTH(A128,0)&lt;=$C$39),E128*(1-$C$40)*(1-J$34),E128*(1-J$34)))+M128</f>
        <v>0</v>
      </c>
    </row>
    <row r="129" spans="1:27" x14ac:dyDescent="0.25">
      <c r="A129" s="98">
        <f>EDATE($C$8,54)</f>
        <v>1643</v>
      </c>
      <c r="B129" s="99">
        <f>EDATE($C$8,55)-1</f>
        <v>1673</v>
      </c>
      <c r="C129" s="92">
        <f t="shared" si="10"/>
        <v>55</v>
      </c>
      <c r="D129" s="100">
        <f t="shared" si="0"/>
        <v>5</v>
      </c>
      <c r="E129" s="101">
        <f t="shared" si="1"/>
        <v>0</v>
      </c>
      <c r="F129" s="94">
        <f t="shared" si="11"/>
        <v>0</v>
      </c>
      <c r="G129" s="95">
        <f t="shared" si="12"/>
        <v>0</v>
      </c>
      <c r="H129" s="94">
        <f t="shared" si="2"/>
        <v>0</v>
      </c>
      <c r="I129" s="94">
        <f t="shared" si="3"/>
        <v>0</v>
      </c>
      <c r="J129" s="94">
        <f t="shared" si="4"/>
        <v>0</v>
      </c>
      <c r="K129" s="94">
        <f t="shared" si="5"/>
        <v>0</v>
      </c>
      <c r="L129" s="94">
        <f t="shared" si="6"/>
        <v>0</v>
      </c>
      <c r="M129" s="94">
        <f t="shared" si="7"/>
        <v>0</v>
      </c>
      <c r="N129" s="101">
        <f t="shared" si="8"/>
        <v>0</v>
      </c>
      <c r="O129" s="102">
        <f t="shared" si="9"/>
        <v>0</v>
      </c>
      <c r="P129" s="101">
        <f>MAX(SUM(N129:N198)+S129,0)</f>
        <v>0</v>
      </c>
      <c r="Q129" s="101">
        <f>SUM(F129:F198)</f>
        <v>0</v>
      </c>
      <c r="R129" s="101">
        <f>SUM(M129:M198)</f>
        <v>0</v>
      </c>
      <c r="S129" s="103">
        <f>SUMPRODUCT(($C$55:$C$67)*($D$55:$D$67&gt;=$A129))</f>
        <v>0</v>
      </c>
      <c r="T129" s="150">
        <f>IF(C129&gt;$C$10,0,IF(AND($C$38&gt;0,A129&gt;=$C$38,EOMONTH(A129,0)&lt;=$C$39),E129*(1-$C$40)*(1-G$15),E129*(1-G$15)))+M129</f>
        <v>0</v>
      </c>
      <c r="U129" s="150">
        <f>IF(C129&gt;$C$10,0,IF(AND($C$38&gt;0,A129&gt;=$C$38,EOMONTH(A129,0)&lt;=$C$39),E129*(1-$C$40)*(1-H$15),E129*(1-H$15)))+M129</f>
        <v>0</v>
      </c>
      <c r="V129" s="150">
        <f>IF(C129&gt;$C$10,0,IF(AND($C$38&gt;0,A129&gt;=$C$38,EOMONTH(A129,0)&lt;=$C$39),E129*(1-$C$40)*(1-I$15),E129*(1-I$15)))+M129</f>
        <v>0</v>
      </c>
      <c r="W129" s="181">
        <f>IF(C129&gt;$C$10,0,IF(AND($C$38&gt;0,A129&gt;=$C$38,EOMONTH(A129,0)&lt;=$C$39),E129*(1-$C$40)*(1-F$34),E129*(1-F$34)))+M129</f>
        <v>0</v>
      </c>
      <c r="X129" s="179">
        <f>IF(C129&gt;$C$10,0,IF(AND($C$38&gt;0,A129&gt;=$C$38,EOMONTH(A129,0)&lt;=$C$39),E129*(1-$C$40)*(1-G$34),E129*(1-G$34)))+M129</f>
        <v>0</v>
      </c>
      <c r="Y129" s="178">
        <f>IF(C129&gt;$C$10,0,IF(AND($C$38&gt;0,A129&gt;=$C$38,EOMONTH(A129,0)&lt;=$C$39),E129*(1-$C$40)*(1-H$34),E129*(1-H$34)))+M129</f>
        <v>0</v>
      </c>
      <c r="Z129" s="179">
        <f>IF(C129&gt;$C$10,0,IF(AND($C$38&gt;0,A129&gt;=$C$38,EOMONTH(A129,0)&lt;=$C$39),E129*(1-$C$40)*(1-I$34),E129*(1-I$34)))+M129</f>
        <v>0</v>
      </c>
      <c r="AA129" s="180">
        <f>IF(C129&gt;$C$10,0,IF(AND($C$38&gt;0,A129&gt;=$C$38,EOMONTH(A129,0)&lt;=$C$39),E129*(1-$C$40)*(1-J$34),E129*(1-J$34)))+M129</f>
        <v>0</v>
      </c>
    </row>
    <row r="130" spans="1:27" x14ac:dyDescent="0.25">
      <c r="A130" s="104">
        <f>EDATE($C$8,55)</f>
        <v>1674</v>
      </c>
      <c r="B130" s="105">
        <f>EDATE($C$8,56)-1</f>
        <v>1704</v>
      </c>
      <c r="C130" s="92">
        <f t="shared" si="10"/>
        <v>56</v>
      </c>
      <c r="D130" s="106">
        <f t="shared" si="0"/>
        <v>5</v>
      </c>
      <c r="E130" s="107">
        <f t="shared" si="1"/>
        <v>0</v>
      </c>
      <c r="F130" s="94">
        <f t="shared" si="11"/>
        <v>0</v>
      </c>
      <c r="G130" s="95">
        <f t="shared" si="12"/>
        <v>0</v>
      </c>
      <c r="H130" s="94">
        <f t="shared" si="2"/>
        <v>0</v>
      </c>
      <c r="I130" s="94">
        <f t="shared" si="3"/>
        <v>0</v>
      </c>
      <c r="J130" s="94">
        <f t="shared" si="4"/>
        <v>0</v>
      </c>
      <c r="K130" s="94">
        <f t="shared" si="5"/>
        <v>0</v>
      </c>
      <c r="L130" s="94">
        <f t="shared" si="6"/>
        <v>0</v>
      </c>
      <c r="M130" s="94">
        <f t="shared" si="7"/>
        <v>0</v>
      </c>
      <c r="N130" s="107">
        <f t="shared" si="8"/>
        <v>0</v>
      </c>
      <c r="O130" s="108">
        <f t="shared" si="9"/>
        <v>0</v>
      </c>
      <c r="P130" s="107">
        <f>MAX(SUM(N130:N198)+S130,0)</f>
        <v>0</v>
      </c>
      <c r="Q130" s="107">
        <f>SUM(F130:F198)</f>
        <v>0</v>
      </c>
      <c r="R130" s="107">
        <f>SUM(M130:M198)</f>
        <v>0</v>
      </c>
      <c r="S130" s="109">
        <f>SUMPRODUCT(($C$55:$C$67)*($D$55:$D$67&gt;=$A130))</f>
        <v>0</v>
      </c>
      <c r="T130" s="150">
        <f>IF(C130&gt;$C$10,0,IF(AND($C$38&gt;0,A130&gt;=$C$38,EOMONTH(A130,0)&lt;=$C$39),E130*(1-$C$40)*(1-G$15),E130*(1-G$15)))+M130</f>
        <v>0</v>
      </c>
      <c r="U130" s="150">
        <f>IF(C130&gt;$C$10,0,IF(AND($C$38&gt;0,A130&gt;=$C$38,EOMONTH(A130,0)&lt;=$C$39),E130*(1-$C$40)*(1-H$15),E130*(1-H$15)))+M130</f>
        <v>0</v>
      </c>
      <c r="V130" s="150">
        <f>IF(C130&gt;$C$10,0,IF(AND($C$38&gt;0,A130&gt;=$C$38,EOMONTH(A130,0)&lt;=$C$39),E130*(1-$C$40)*(1-I$15),E130*(1-I$15)))+M130</f>
        <v>0</v>
      </c>
      <c r="W130" s="181">
        <f>IF(C130&gt;$C$10,0,IF(AND($C$38&gt;0,A130&gt;=$C$38,EOMONTH(A130,0)&lt;=$C$39),E130*(1-$C$40)*(1-F$34),E130*(1-F$34)))+M130</f>
        <v>0</v>
      </c>
      <c r="X130" s="179">
        <f>IF(C130&gt;$C$10,0,IF(AND($C$38&gt;0,A130&gt;=$C$38,EOMONTH(A130,0)&lt;=$C$39),E130*(1-$C$40)*(1-G$34),E130*(1-G$34)))+M130</f>
        <v>0</v>
      </c>
      <c r="Y130" s="178">
        <f>IF(C130&gt;$C$10,0,IF(AND($C$38&gt;0,A130&gt;=$C$38,EOMONTH(A130,0)&lt;=$C$39),E130*(1-$C$40)*(1-H$34),E130*(1-H$34)))+M130</f>
        <v>0</v>
      </c>
      <c r="Z130" s="179">
        <f>IF(C130&gt;$C$10,0,IF(AND($C$38&gt;0,A130&gt;=$C$38,EOMONTH(A130,0)&lt;=$C$39),E130*(1-$C$40)*(1-I$34),E130*(1-I$34)))+M130</f>
        <v>0</v>
      </c>
      <c r="AA130" s="180">
        <f>IF(C130&gt;$C$10,0,IF(AND($C$38&gt;0,A130&gt;=$C$38,EOMONTH(A130,0)&lt;=$C$39),E130*(1-$C$40)*(1-J$34),E130*(1-J$34)))+M130</f>
        <v>0</v>
      </c>
    </row>
    <row r="131" spans="1:27" x14ac:dyDescent="0.25">
      <c r="A131" s="98">
        <f>EDATE($C$8,56)</f>
        <v>1705</v>
      </c>
      <c r="B131" s="99">
        <f>EDATE($C$8,57)-1</f>
        <v>1734</v>
      </c>
      <c r="C131" s="92">
        <f t="shared" si="10"/>
        <v>57</v>
      </c>
      <c r="D131" s="100">
        <f t="shared" si="0"/>
        <v>5</v>
      </c>
      <c r="E131" s="101">
        <f t="shared" si="1"/>
        <v>0</v>
      </c>
      <c r="F131" s="94">
        <f t="shared" si="11"/>
        <v>0</v>
      </c>
      <c r="G131" s="95">
        <f t="shared" si="12"/>
        <v>0</v>
      </c>
      <c r="H131" s="94">
        <f t="shared" si="2"/>
        <v>0</v>
      </c>
      <c r="I131" s="94">
        <f t="shared" si="3"/>
        <v>0</v>
      </c>
      <c r="J131" s="94">
        <f t="shared" si="4"/>
        <v>0</v>
      </c>
      <c r="K131" s="94">
        <f t="shared" si="5"/>
        <v>0</v>
      </c>
      <c r="L131" s="94">
        <f t="shared" si="6"/>
        <v>0</v>
      </c>
      <c r="M131" s="94">
        <f t="shared" si="7"/>
        <v>0</v>
      </c>
      <c r="N131" s="101">
        <f t="shared" si="8"/>
        <v>0</v>
      </c>
      <c r="O131" s="102">
        <f t="shared" si="9"/>
        <v>0</v>
      </c>
      <c r="P131" s="101">
        <f>MAX(SUM(N131:N198)+S131,0)</f>
        <v>0</v>
      </c>
      <c r="Q131" s="101">
        <f>SUM(F131:F198)</f>
        <v>0</v>
      </c>
      <c r="R131" s="101">
        <f>SUM(M131:M198)</f>
        <v>0</v>
      </c>
      <c r="S131" s="103">
        <f>SUMPRODUCT(($C$55:$C$67)*($D$55:$D$67&gt;=$A131))</f>
        <v>0</v>
      </c>
      <c r="T131" s="150">
        <f>IF(C131&gt;$C$10,0,IF(AND($C$38&gt;0,A131&gt;=$C$38,EOMONTH(A131,0)&lt;=$C$39),E131*(1-$C$40)*(1-G$15),E131*(1-G$15)))+M131</f>
        <v>0</v>
      </c>
      <c r="U131" s="150">
        <f>IF(C131&gt;$C$10,0,IF(AND($C$38&gt;0,A131&gt;=$C$38,EOMONTH(A131,0)&lt;=$C$39),E131*(1-$C$40)*(1-H$15),E131*(1-H$15)))+M131</f>
        <v>0</v>
      </c>
      <c r="V131" s="150">
        <f>IF(C131&gt;$C$10,0,IF(AND($C$38&gt;0,A131&gt;=$C$38,EOMONTH(A131,0)&lt;=$C$39),E131*(1-$C$40)*(1-I$15),E131*(1-I$15)))+M131</f>
        <v>0</v>
      </c>
      <c r="W131" s="181">
        <f>IF(C131&gt;$C$10,0,IF(AND($C$38&gt;0,A131&gt;=$C$38,EOMONTH(A131,0)&lt;=$C$39),E131*(1-$C$40)*(1-F$34),E131*(1-F$34)))+M131</f>
        <v>0</v>
      </c>
      <c r="X131" s="179">
        <f>IF(C131&gt;$C$10,0,IF(AND($C$38&gt;0,A131&gt;=$C$38,EOMONTH(A131,0)&lt;=$C$39),E131*(1-$C$40)*(1-G$34),E131*(1-G$34)))+M131</f>
        <v>0</v>
      </c>
      <c r="Y131" s="178">
        <f>IF(C131&gt;$C$10,0,IF(AND($C$38&gt;0,A131&gt;=$C$38,EOMONTH(A131,0)&lt;=$C$39),E131*(1-$C$40)*(1-H$34),E131*(1-H$34)))+M131</f>
        <v>0</v>
      </c>
      <c r="Z131" s="179">
        <f>IF(C131&gt;$C$10,0,IF(AND($C$38&gt;0,A131&gt;=$C$38,EOMONTH(A131,0)&lt;=$C$39),E131*(1-$C$40)*(1-I$34),E131*(1-I$34)))+M131</f>
        <v>0</v>
      </c>
      <c r="AA131" s="180">
        <f>IF(C131&gt;$C$10,0,IF(AND($C$38&gt;0,A131&gt;=$C$38,EOMONTH(A131,0)&lt;=$C$39),E131*(1-$C$40)*(1-J$34),E131*(1-J$34)))+M131</f>
        <v>0</v>
      </c>
    </row>
    <row r="132" spans="1:27" x14ac:dyDescent="0.25">
      <c r="A132" s="104">
        <f>EDATE($C$8,57)</f>
        <v>1735</v>
      </c>
      <c r="B132" s="105">
        <f>EDATE($C$8,58)-1</f>
        <v>1765</v>
      </c>
      <c r="C132" s="92">
        <f t="shared" si="10"/>
        <v>58</v>
      </c>
      <c r="D132" s="106">
        <f t="shared" si="0"/>
        <v>5</v>
      </c>
      <c r="E132" s="107">
        <f t="shared" si="1"/>
        <v>0</v>
      </c>
      <c r="F132" s="94">
        <f t="shared" si="11"/>
        <v>0</v>
      </c>
      <c r="G132" s="95">
        <f t="shared" si="12"/>
        <v>0</v>
      </c>
      <c r="H132" s="94">
        <f t="shared" si="2"/>
        <v>0</v>
      </c>
      <c r="I132" s="94">
        <f t="shared" si="3"/>
        <v>0</v>
      </c>
      <c r="J132" s="94">
        <f t="shared" si="4"/>
        <v>0</v>
      </c>
      <c r="K132" s="94">
        <f t="shared" si="5"/>
        <v>0</v>
      </c>
      <c r="L132" s="94">
        <f t="shared" si="6"/>
        <v>0</v>
      </c>
      <c r="M132" s="94">
        <f t="shared" si="7"/>
        <v>0</v>
      </c>
      <c r="N132" s="107">
        <f t="shared" si="8"/>
        <v>0</v>
      </c>
      <c r="O132" s="108">
        <f t="shared" si="9"/>
        <v>0</v>
      </c>
      <c r="P132" s="107">
        <f>MAX(SUM(N132:N198)+S132,0)</f>
        <v>0</v>
      </c>
      <c r="Q132" s="107">
        <f>SUM(F132:F198)</f>
        <v>0</v>
      </c>
      <c r="R132" s="107">
        <f>SUM(M132:M198)</f>
        <v>0</v>
      </c>
      <c r="S132" s="109">
        <f>SUMPRODUCT(($C$55:$C$67)*($D$55:$D$67&gt;=$A132))</f>
        <v>0</v>
      </c>
      <c r="T132" s="150">
        <f>IF(C132&gt;$C$10,0,IF(AND($C$38&gt;0,A132&gt;=$C$38,EOMONTH(A132,0)&lt;=$C$39),E132*(1-$C$40)*(1-G$15),E132*(1-G$15)))+M132</f>
        <v>0</v>
      </c>
      <c r="U132" s="150">
        <f>IF(C132&gt;$C$10,0,IF(AND($C$38&gt;0,A132&gt;=$C$38,EOMONTH(A132,0)&lt;=$C$39),E132*(1-$C$40)*(1-H$15),E132*(1-H$15)))+M132</f>
        <v>0</v>
      </c>
      <c r="V132" s="150">
        <f>IF(C132&gt;$C$10,0,IF(AND($C$38&gt;0,A132&gt;=$C$38,EOMONTH(A132,0)&lt;=$C$39),E132*(1-$C$40)*(1-I$15),E132*(1-I$15)))+M132</f>
        <v>0</v>
      </c>
      <c r="W132" s="181">
        <f>IF(C132&gt;$C$10,0,IF(AND($C$38&gt;0,A132&gt;=$C$38,EOMONTH(A132,0)&lt;=$C$39),E132*(1-$C$40)*(1-F$34),E132*(1-F$34)))+M132</f>
        <v>0</v>
      </c>
      <c r="X132" s="179">
        <f>IF(C132&gt;$C$10,0,IF(AND($C$38&gt;0,A132&gt;=$C$38,EOMONTH(A132,0)&lt;=$C$39),E132*(1-$C$40)*(1-G$34),E132*(1-G$34)))+M132</f>
        <v>0</v>
      </c>
      <c r="Y132" s="178">
        <f>IF(C132&gt;$C$10,0,IF(AND($C$38&gt;0,A132&gt;=$C$38,EOMONTH(A132,0)&lt;=$C$39),E132*(1-$C$40)*(1-H$34),E132*(1-H$34)))+M132</f>
        <v>0</v>
      </c>
      <c r="Z132" s="179">
        <f>IF(C132&gt;$C$10,0,IF(AND($C$38&gt;0,A132&gt;=$C$38,EOMONTH(A132,0)&lt;=$C$39),E132*(1-$C$40)*(1-I$34),E132*(1-I$34)))+M132</f>
        <v>0</v>
      </c>
      <c r="AA132" s="180">
        <f>IF(C132&gt;$C$10,0,IF(AND($C$38&gt;0,A132&gt;=$C$38,EOMONTH(A132,0)&lt;=$C$39),E132*(1-$C$40)*(1-J$34),E132*(1-J$34)))+M132</f>
        <v>0</v>
      </c>
    </row>
    <row r="133" spans="1:27" x14ac:dyDescent="0.25">
      <c r="A133" s="98">
        <f>EDATE($C$8,58)</f>
        <v>1766</v>
      </c>
      <c r="B133" s="99">
        <f>EDATE($C$8,59)-1</f>
        <v>1795</v>
      </c>
      <c r="C133" s="92">
        <f t="shared" si="10"/>
        <v>59</v>
      </c>
      <c r="D133" s="100">
        <f t="shared" si="0"/>
        <v>5</v>
      </c>
      <c r="E133" s="101">
        <f t="shared" si="1"/>
        <v>0</v>
      </c>
      <c r="F133" s="94">
        <f t="shared" si="11"/>
        <v>0</v>
      </c>
      <c r="G133" s="95">
        <f t="shared" si="12"/>
        <v>0</v>
      </c>
      <c r="H133" s="94">
        <f t="shared" si="2"/>
        <v>0</v>
      </c>
      <c r="I133" s="94">
        <f t="shared" si="3"/>
        <v>0</v>
      </c>
      <c r="J133" s="94">
        <f t="shared" si="4"/>
        <v>0</v>
      </c>
      <c r="K133" s="94">
        <f t="shared" si="5"/>
        <v>0</v>
      </c>
      <c r="L133" s="94">
        <f t="shared" si="6"/>
        <v>0</v>
      </c>
      <c r="M133" s="94">
        <f t="shared" si="7"/>
        <v>0</v>
      </c>
      <c r="N133" s="101">
        <f t="shared" si="8"/>
        <v>0</v>
      </c>
      <c r="O133" s="102">
        <f t="shared" si="9"/>
        <v>0</v>
      </c>
      <c r="P133" s="101">
        <f>MAX(SUM(N133:N198)+S133,0)</f>
        <v>0</v>
      </c>
      <c r="Q133" s="101">
        <f>SUM(F133:F198)</f>
        <v>0</v>
      </c>
      <c r="R133" s="101">
        <f>SUM(M133:M198)</f>
        <v>0</v>
      </c>
      <c r="S133" s="103">
        <f>SUMPRODUCT(($C$55:$C$67)*($D$55:$D$67&gt;=$A133))</f>
        <v>0</v>
      </c>
      <c r="T133" s="150">
        <f>IF(C133&gt;$C$10,0,IF(AND($C$38&gt;0,A133&gt;=$C$38,EOMONTH(A133,0)&lt;=$C$39),E133*(1-$C$40)*(1-G$15),E133*(1-G$15)))+M133</f>
        <v>0</v>
      </c>
      <c r="U133" s="150">
        <f>IF(C133&gt;$C$10,0,IF(AND($C$38&gt;0,A133&gt;=$C$38,EOMONTH(A133,0)&lt;=$C$39),E133*(1-$C$40)*(1-H$15),E133*(1-H$15)))+M133</f>
        <v>0</v>
      </c>
      <c r="V133" s="150">
        <f>IF(C133&gt;$C$10,0,IF(AND($C$38&gt;0,A133&gt;=$C$38,EOMONTH(A133,0)&lt;=$C$39),E133*(1-$C$40)*(1-I$15),E133*(1-I$15)))+M133</f>
        <v>0</v>
      </c>
      <c r="W133" s="181">
        <f>IF(C133&gt;$C$10,0,IF(AND($C$38&gt;0,A133&gt;=$C$38,EOMONTH(A133,0)&lt;=$C$39),E133*(1-$C$40)*(1-F$34),E133*(1-F$34)))+M133</f>
        <v>0</v>
      </c>
      <c r="X133" s="179">
        <f>IF(C133&gt;$C$10,0,IF(AND($C$38&gt;0,A133&gt;=$C$38,EOMONTH(A133,0)&lt;=$C$39),E133*(1-$C$40)*(1-G$34),E133*(1-G$34)))+M133</f>
        <v>0</v>
      </c>
      <c r="Y133" s="178">
        <f>IF(C133&gt;$C$10,0,IF(AND($C$38&gt;0,A133&gt;=$C$38,EOMONTH(A133,0)&lt;=$C$39),E133*(1-$C$40)*(1-H$34),E133*(1-H$34)))+M133</f>
        <v>0</v>
      </c>
      <c r="Z133" s="179">
        <f>IF(C133&gt;$C$10,0,IF(AND($C$38&gt;0,A133&gt;=$C$38,EOMONTH(A133,0)&lt;=$C$39),E133*(1-$C$40)*(1-I$34),E133*(1-I$34)))+M133</f>
        <v>0</v>
      </c>
      <c r="AA133" s="180">
        <f>IF(C133&gt;$C$10,0,IF(AND($C$38&gt;0,A133&gt;=$C$38,EOMONTH(A133,0)&lt;=$C$39),E133*(1-$C$40)*(1-J$34),E133*(1-J$34)))+M133</f>
        <v>0</v>
      </c>
    </row>
    <row r="134" spans="1:27" x14ac:dyDescent="0.25">
      <c r="A134" s="104">
        <f>EDATE($C$8,59)</f>
        <v>1796</v>
      </c>
      <c r="B134" s="105">
        <f>EDATE($C$8,60)-1</f>
        <v>1826</v>
      </c>
      <c r="C134" s="92">
        <f t="shared" si="10"/>
        <v>60</v>
      </c>
      <c r="D134" s="106">
        <f t="shared" si="0"/>
        <v>5</v>
      </c>
      <c r="E134" s="107">
        <f t="shared" si="1"/>
        <v>0</v>
      </c>
      <c r="F134" s="94">
        <f t="shared" si="11"/>
        <v>0</v>
      </c>
      <c r="G134" s="95">
        <f t="shared" si="12"/>
        <v>0</v>
      </c>
      <c r="H134" s="94">
        <f t="shared" si="2"/>
        <v>0</v>
      </c>
      <c r="I134" s="94">
        <f t="shared" si="3"/>
        <v>0</v>
      </c>
      <c r="J134" s="94">
        <f t="shared" si="4"/>
        <v>0</v>
      </c>
      <c r="K134" s="94">
        <f t="shared" si="5"/>
        <v>0</v>
      </c>
      <c r="L134" s="94">
        <f t="shared" si="6"/>
        <v>0</v>
      </c>
      <c r="M134" s="94">
        <f t="shared" si="7"/>
        <v>0</v>
      </c>
      <c r="N134" s="107">
        <f t="shared" si="8"/>
        <v>0</v>
      </c>
      <c r="O134" s="108">
        <f t="shared" si="9"/>
        <v>0</v>
      </c>
      <c r="P134" s="107">
        <f>MAX(SUM(N134:N198)+S134,0)</f>
        <v>0</v>
      </c>
      <c r="Q134" s="107">
        <f>SUM(F134:F198)</f>
        <v>0</v>
      </c>
      <c r="R134" s="107">
        <f>SUM(M134:M198)</f>
        <v>0</v>
      </c>
      <c r="S134" s="109">
        <f>SUMPRODUCT(($C$55:$C$67)*($D$55:$D$67&gt;=$A134))</f>
        <v>0</v>
      </c>
      <c r="T134" s="150">
        <f>IF(C134&gt;$C$10,0,IF(AND($C$38&gt;0,A134&gt;=$C$38,EOMONTH(A134,0)&lt;=$C$39),E134*(1-$C$40)*(1-G$15),E134*(1-G$15)))+M134</f>
        <v>0</v>
      </c>
      <c r="U134" s="150">
        <f>IF(C134&gt;$C$10,0,IF(AND($C$38&gt;0,A134&gt;=$C$38,EOMONTH(A134,0)&lt;=$C$39),E134*(1-$C$40)*(1-H$15),E134*(1-H$15)))+M134</f>
        <v>0</v>
      </c>
      <c r="V134" s="150">
        <f>IF(C134&gt;$C$10,0,IF(AND($C$38&gt;0,A134&gt;=$C$38,EOMONTH(A134,0)&lt;=$C$39),E134*(1-$C$40)*(1-I$15),E134*(1-I$15)))+M134</f>
        <v>0</v>
      </c>
      <c r="W134" s="181">
        <f>IF(C134&gt;$C$10,0,IF(AND($C$38&gt;0,A134&gt;=$C$38,EOMONTH(A134,0)&lt;=$C$39),E134*(1-$C$40)*(1-F$34),E134*(1-F$34)))+M134</f>
        <v>0</v>
      </c>
      <c r="X134" s="179">
        <f>IF(C134&gt;$C$10,0,IF(AND($C$38&gt;0,A134&gt;=$C$38,EOMONTH(A134,0)&lt;=$C$39),E134*(1-$C$40)*(1-G$34),E134*(1-G$34)))+M134</f>
        <v>0</v>
      </c>
      <c r="Y134" s="178">
        <f>IF(C134&gt;$C$10,0,IF(AND($C$38&gt;0,A134&gt;=$C$38,EOMONTH(A134,0)&lt;=$C$39),E134*(1-$C$40)*(1-H$34),E134*(1-H$34)))+M134</f>
        <v>0</v>
      </c>
      <c r="Z134" s="179">
        <f>IF(C134&gt;$C$10,0,IF(AND($C$38&gt;0,A134&gt;=$C$38,EOMONTH(A134,0)&lt;=$C$39),E134*(1-$C$40)*(1-I$34),E134*(1-I$34)))+M134</f>
        <v>0</v>
      </c>
      <c r="AA134" s="180">
        <f>IF(C134&gt;$C$10,0,IF(AND($C$38&gt;0,A134&gt;=$C$38,EOMONTH(A134,0)&lt;=$C$39),E134*(1-$C$40)*(1-J$34),E134*(1-J$34)))+M134</f>
        <v>0</v>
      </c>
    </row>
    <row r="135" spans="1:27" x14ac:dyDescent="0.25">
      <c r="A135" s="98">
        <f>EDATE($C$8,60)</f>
        <v>1827</v>
      </c>
      <c r="B135" s="99">
        <f>EDATE($C$8,61)-1</f>
        <v>1857</v>
      </c>
      <c r="C135" s="92">
        <f t="shared" si="10"/>
        <v>61</v>
      </c>
      <c r="D135" s="100">
        <f t="shared" si="0"/>
        <v>6</v>
      </c>
      <c r="E135" s="101">
        <f t="shared" si="1"/>
        <v>0</v>
      </c>
      <c r="F135" s="94">
        <f t="shared" si="11"/>
        <v>0</v>
      </c>
      <c r="G135" s="95">
        <f t="shared" si="12"/>
        <v>0</v>
      </c>
      <c r="H135" s="94">
        <f t="shared" si="2"/>
        <v>0</v>
      </c>
      <c r="I135" s="94">
        <f t="shared" si="3"/>
        <v>0</v>
      </c>
      <c r="J135" s="94">
        <f t="shared" si="4"/>
        <v>0</v>
      </c>
      <c r="K135" s="94">
        <f t="shared" si="5"/>
        <v>0</v>
      </c>
      <c r="L135" s="94">
        <f t="shared" si="6"/>
        <v>0</v>
      </c>
      <c r="M135" s="94">
        <f t="shared" si="7"/>
        <v>0</v>
      </c>
      <c r="N135" s="101">
        <f t="shared" si="8"/>
        <v>0</v>
      </c>
      <c r="O135" s="102">
        <f t="shared" si="9"/>
        <v>0</v>
      </c>
      <c r="P135" s="101">
        <f>MAX(SUM(N135:N198)+S135,0)</f>
        <v>0</v>
      </c>
      <c r="Q135" s="101">
        <f>SUM(F135:F198)</f>
        <v>0</v>
      </c>
      <c r="R135" s="101">
        <f>SUM(M135:M198)</f>
        <v>0</v>
      </c>
      <c r="S135" s="103">
        <f>SUMPRODUCT(($C$55:$C$67)*($D$55:$D$67&gt;=$A135))</f>
        <v>0</v>
      </c>
      <c r="T135" s="150">
        <f>IF(C135&gt;$C$10,0,IF(AND($C$38&gt;0,A135&gt;=$C$38,EOMONTH(A135,0)&lt;=$C$39),E135*(1-$C$40)*(1-G$15),E135*(1-G$15)))+M135</f>
        <v>0</v>
      </c>
      <c r="U135" s="150">
        <f>IF(C135&gt;$C$10,0,IF(AND($C$38&gt;0,A135&gt;=$C$38,EOMONTH(A135,0)&lt;=$C$39),E135*(1-$C$40)*(1-H$15),E135*(1-H$15)))+M135</f>
        <v>0</v>
      </c>
      <c r="V135" s="150">
        <f>IF(C135&gt;$C$10,0,IF(AND($C$38&gt;0,A135&gt;=$C$38,EOMONTH(A135,0)&lt;=$C$39),E135*(1-$C$40)*(1-I$15),E135*(1-I$15)))+M135</f>
        <v>0</v>
      </c>
      <c r="W135" s="181">
        <f>IF(C135&gt;$C$10,0,IF(AND($C$38&gt;0,A135&gt;=$C$38,EOMONTH(A135,0)&lt;=$C$39),E135*(1-$C$40)*(1-F$34),E135*(1-F$34)))+M135</f>
        <v>0</v>
      </c>
      <c r="X135" s="179">
        <f>IF(C135&gt;$C$10,0,IF(AND($C$38&gt;0,A135&gt;=$C$38,EOMONTH(A135,0)&lt;=$C$39),E135*(1-$C$40)*(1-G$34),E135*(1-G$34)))+M135</f>
        <v>0</v>
      </c>
      <c r="Y135" s="178">
        <f>IF(C135&gt;$C$10,0,IF(AND($C$38&gt;0,A135&gt;=$C$38,EOMONTH(A135,0)&lt;=$C$39),E135*(1-$C$40)*(1-H$34),E135*(1-H$34)))+M135</f>
        <v>0</v>
      </c>
      <c r="Z135" s="179">
        <f>IF(C135&gt;$C$10,0,IF(AND($C$38&gt;0,A135&gt;=$C$38,EOMONTH(A135,0)&lt;=$C$39),E135*(1-$C$40)*(1-I$34),E135*(1-I$34)))+M135</f>
        <v>0</v>
      </c>
      <c r="AA135" s="180">
        <f>IF(C135&gt;$C$10,0,IF(AND($C$38&gt;0,A135&gt;=$C$38,EOMONTH(A135,0)&lt;=$C$39),E135*(1-$C$40)*(1-J$34),E135*(1-J$34)))+M135</f>
        <v>0</v>
      </c>
    </row>
    <row r="136" spans="1:27" x14ac:dyDescent="0.25">
      <c r="A136" s="104">
        <f>EDATE($C$8,61)</f>
        <v>1858</v>
      </c>
      <c r="B136" s="105">
        <f>EDATE($C$8,62)-1</f>
        <v>1885</v>
      </c>
      <c r="C136" s="92">
        <f t="shared" si="10"/>
        <v>62</v>
      </c>
      <c r="D136" s="106">
        <f t="shared" si="0"/>
        <v>6</v>
      </c>
      <c r="E136" s="107">
        <f t="shared" si="1"/>
        <v>0</v>
      </c>
      <c r="F136" s="94">
        <f t="shared" si="11"/>
        <v>0</v>
      </c>
      <c r="G136" s="95">
        <f t="shared" si="12"/>
        <v>0</v>
      </c>
      <c r="H136" s="94">
        <f t="shared" si="2"/>
        <v>0</v>
      </c>
      <c r="I136" s="94">
        <f t="shared" si="3"/>
        <v>0</v>
      </c>
      <c r="J136" s="94">
        <f t="shared" si="4"/>
        <v>0</v>
      </c>
      <c r="K136" s="94">
        <f t="shared" si="5"/>
        <v>0</v>
      </c>
      <c r="L136" s="94">
        <f t="shared" si="6"/>
        <v>0</v>
      </c>
      <c r="M136" s="94">
        <f t="shared" si="7"/>
        <v>0</v>
      </c>
      <c r="N136" s="107">
        <f t="shared" si="8"/>
        <v>0</v>
      </c>
      <c r="O136" s="108">
        <f t="shared" si="9"/>
        <v>0</v>
      </c>
      <c r="P136" s="107">
        <f>MAX(SUM(N136:N198)+S136,0)</f>
        <v>0</v>
      </c>
      <c r="Q136" s="107">
        <f>SUM(F136:F198)</f>
        <v>0</v>
      </c>
      <c r="R136" s="107">
        <f>SUM(M136:M198)</f>
        <v>0</v>
      </c>
      <c r="S136" s="109">
        <f>SUMPRODUCT(($C$55:$C$67)*($D$55:$D$67&gt;=$A136))</f>
        <v>0</v>
      </c>
      <c r="T136" s="150">
        <f>IF(C136&gt;$C$10,0,IF(AND($C$38&gt;0,A136&gt;=$C$38,EOMONTH(A136,0)&lt;=$C$39),E136*(1-$C$40)*(1-G$15),E136*(1-G$15)))+M136</f>
        <v>0</v>
      </c>
      <c r="U136" s="150">
        <f>IF(C136&gt;$C$10,0,IF(AND($C$38&gt;0,A136&gt;=$C$38,EOMONTH(A136,0)&lt;=$C$39),E136*(1-$C$40)*(1-H$15),E136*(1-H$15)))+M136</f>
        <v>0</v>
      </c>
      <c r="V136" s="150">
        <f>IF(C136&gt;$C$10,0,IF(AND($C$38&gt;0,A136&gt;=$C$38,EOMONTH(A136,0)&lt;=$C$39),E136*(1-$C$40)*(1-I$15),E136*(1-I$15)))+M136</f>
        <v>0</v>
      </c>
      <c r="W136" s="181">
        <f>IF(C136&gt;$C$10,0,IF(AND($C$38&gt;0,A136&gt;=$C$38,EOMONTH(A136,0)&lt;=$C$39),E136*(1-$C$40)*(1-F$34),E136*(1-F$34)))+M136</f>
        <v>0</v>
      </c>
      <c r="X136" s="179">
        <f>IF(C136&gt;$C$10,0,IF(AND($C$38&gt;0,A136&gt;=$C$38,EOMONTH(A136,0)&lt;=$C$39),E136*(1-$C$40)*(1-G$34),E136*(1-G$34)))+M136</f>
        <v>0</v>
      </c>
      <c r="Y136" s="178">
        <f>IF(C136&gt;$C$10,0,IF(AND($C$38&gt;0,A136&gt;=$C$38,EOMONTH(A136,0)&lt;=$C$39),E136*(1-$C$40)*(1-H$34),E136*(1-H$34)))+M136</f>
        <v>0</v>
      </c>
      <c r="Z136" s="179">
        <f>IF(C136&gt;$C$10,0,IF(AND($C$38&gt;0,A136&gt;=$C$38,EOMONTH(A136,0)&lt;=$C$39),E136*(1-$C$40)*(1-I$34),E136*(1-I$34)))+M136</f>
        <v>0</v>
      </c>
      <c r="AA136" s="180">
        <f>IF(C136&gt;$C$10,0,IF(AND($C$38&gt;0,A136&gt;=$C$38,EOMONTH(A136,0)&lt;=$C$39),E136*(1-$C$40)*(1-J$34),E136*(1-J$34)))+M136</f>
        <v>0</v>
      </c>
    </row>
    <row r="137" spans="1:27" x14ac:dyDescent="0.25">
      <c r="A137" s="98">
        <f>EDATE($C$8,62)</f>
        <v>1886</v>
      </c>
      <c r="B137" s="99">
        <f>EDATE($C$8,63)-1</f>
        <v>1916</v>
      </c>
      <c r="C137" s="92">
        <f t="shared" si="10"/>
        <v>63</v>
      </c>
      <c r="D137" s="100">
        <f t="shared" si="0"/>
        <v>6</v>
      </c>
      <c r="E137" s="101">
        <f t="shared" si="1"/>
        <v>0</v>
      </c>
      <c r="F137" s="94">
        <f t="shared" si="11"/>
        <v>0</v>
      </c>
      <c r="G137" s="95">
        <f t="shared" si="12"/>
        <v>0</v>
      </c>
      <c r="H137" s="94">
        <f t="shared" si="2"/>
        <v>0</v>
      </c>
      <c r="I137" s="94">
        <f t="shared" si="3"/>
        <v>0</v>
      </c>
      <c r="J137" s="94">
        <f t="shared" si="4"/>
        <v>0</v>
      </c>
      <c r="K137" s="94">
        <f t="shared" si="5"/>
        <v>0</v>
      </c>
      <c r="L137" s="94">
        <f t="shared" si="6"/>
        <v>0</v>
      </c>
      <c r="M137" s="94">
        <f t="shared" si="7"/>
        <v>0</v>
      </c>
      <c r="N137" s="101">
        <f t="shared" si="8"/>
        <v>0</v>
      </c>
      <c r="O137" s="102">
        <f t="shared" si="9"/>
        <v>0</v>
      </c>
      <c r="P137" s="101">
        <f>MAX(SUM(N137:N198)+S137,0)</f>
        <v>0</v>
      </c>
      <c r="Q137" s="101">
        <f>SUM(F137:F198)</f>
        <v>0</v>
      </c>
      <c r="R137" s="101">
        <f>SUM(M137:M198)</f>
        <v>0</v>
      </c>
      <c r="S137" s="103">
        <f>SUMPRODUCT(($C$55:$C$67)*($D$55:$D$67&gt;=$A137))</f>
        <v>0</v>
      </c>
      <c r="T137" s="150">
        <f>IF(C137&gt;$C$10,0,IF(AND($C$38&gt;0,A137&gt;=$C$38,EOMONTH(A137,0)&lt;=$C$39),E137*(1-$C$40)*(1-G$15),E137*(1-G$15)))+M137</f>
        <v>0</v>
      </c>
      <c r="U137" s="150">
        <f>IF(C137&gt;$C$10,0,IF(AND($C$38&gt;0,A137&gt;=$C$38,EOMONTH(A137,0)&lt;=$C$39),E137*(1-$C$40)*(1-H$15),E137*(1-H$15)))+M137</f>
        <v>0</v>
      </c>
      <c r="V137" s="150">
        <f>IF(C137&gt;$C$10,0,IF(AND($C$38&gt;0,A137&gt;=$C$38,EOMONTH(A137,0)&lt;=$C$39),E137*(1-$C$40)*(1-I$15),E137*(1-I$15)))+M137</f>
        <v>0</v>
      </c>
      <c r="W137" s="181">
        <f>IF(C137&gt;$C$10,0,IF(AND($C$38&gt;0,A137&gt;=$C$38,EOMONTH(A137,0)&lt;=$C$39),E137*(1-$C$40)*(1-F$34),E137*(1-F$34)))+M137</f>
        <v>0</v>
      </c>
      <c r="X137" s="179">
        <f>IF(C137&gt;$C$10,0,IF(AND($C$38&gt;0,A137&gt;=$C$38,EOMONTH(A137,0)&lt;=$C$39),E137*(1-$C$40)*(1-G$34),E137*(1-G$34)))+M137</f>
        <v>0</v>
      </c>
      <c r="Y137" s="178">
        <f>IF(C137&gt;$C$10,0,IF(AND($C$38&gt;0,A137&gt;=$C$38,EOMONTH(A137,0)&lt;=$C$39),E137*(1-$C$40)*(1-H$34),E137*(1-H$34)))+M137</f>
        <v>0</v>
      </c>
      <c r="Z137" s="179">
        <f>IF(C137&gt;$C$10,0,IF(AND($C$38&gt;0,A137&gt;=$C$38,EOMONTH(A137,0)&lt;=$C$39),E137*(1-$C$40)*(1-I$34),E137*(1-I$34)))+M137</f>
        <v>0</v>
      </c>
      <c r="AA137" s="180">
        <f>IF(C137&gt;$C$10,0,IF(AND($C$38&gt;0,A137&gt;=$C$38,EOMONTH(A137,0)&lt;=$C$39),E137*(1-$C$40)*(1-J$34),E137*(1-J$34)))+M137</f>
        <v>0</v>
      </c>
    </row>
    <row r="138" spans="1:27" x14ac:dyDescent="0.25">
      <c r="A138" s="104">
        <f>EDATE($C$8,63)</f>
        <v>1917</v>
      </c>
      <c r="B138" s="105">
        <f>EDATE($C$8,64)-1</f>
        <v>1946</v>
      </c>
      <c r="C138" s="92">
        <f t="shared" si="10"/>
        <v>64</v>
      </c>
      <c r="D138" s="106">
        <f t="shared" si="0"/>
        <v>6</v>
      </c>
      <c r="E138" s="107">
        <f t="shared" si="1"/>
        <v>0</v>
      </c>
      <c r="F138" s="94">
        <f t="shared" si="11"/>
        <v>0</v>
      </c>
      <c r="G138" s="95">
        <f t="shared" si="12"/>
        <v>0</v>
      </c>
      <c r="H138" s="94">
        <f t="shared" si="2"/>
        <v>0</v>
      </c>
      <c r="I138" s="94">
        <f t="shared" si="3"/>
        <v>0</v>
      </c>
      <c r="J138" s="94">
        <f t="shared" si="4"/>
        <v>0</v>
      </c>
      <c r="K138" s="94">
        <f t="shared" si="5"/>
        <v>0</v>
      </c>
      <c r="L138" s="94">
        <f t="shared" si="6"/>
        <v>0</v>
      </c>
      <c r="M138" s="94">
        <f t="shared" si="7"/>
        <v>0</v>
      </c>
      <c r="N138" s="107">
        <f t="shared" si="8"/>
        <v>0</v>
      </c>
      <c r="O138" s="108">
        <f t="shared" si="9"/>
        <v>0</v>
      </c>
      <c r="P138" s="107">
        <f>MAX(SUM(N138:N198)+S138,0)</f>
        <v>0</v>
      </c>
      <c r="Q138" s="107">
        <f>SUM(F138:F198)</f>
        <v>0</v>
      </c>
      <c r="R138" s="107">
        <f>SUM(M138:M198)</f>
        <v>0</v>
      </c>
      <c r="S138" s="109">
        <f>SUMPRODUCT(($C$55:$C$67)*($D$55:$D$67&gt;=$A138))</f>
        <v>0</v>
      </c>
      <c r="T138" s="150">
        <f>IF(C138&gt;$C$10,0,IF(AND($C$38&gt;0,A138&gt;=$C$38,EOMONTH(A138,0)&lt;=$C$39),E138*(1-$C$40)*(1-G$15),E138*(1-G$15)))+M138</f>
        <v>0</v>
      </c>
      <c r="U138" s="150">
        <f>IF(C138&gt;$C$10,0,IF(AND($C$38&gt;0,A138&gt;=$C$38,EOMONTH(A138,0)&lt;=$C$39),E138*(1-$C$40)*(1-H$15),E138*(1-H$15)))+M138</f>
        <v>0</v>
      </c>
      <c r="V138" s="150">
        <f>IF(C138&gt;$C$10,0,IF(AND($C$38&gt;0,A138&gt;=$C$38,EOMONTH(A138,0)&lt;=$C$39),E138*(1-$C$40)*(1-I$15),E138*(1-I$15)))+M138</f>
        <v>0</v>
      </c>
      <c r="W138" s="181">
        <f>IF(C138&gt;$C$10,0,IF(AND($C$38&gt;0,A138&gt;=$C$38,EOMONTH(A138,0)&lt;=$C$39),E138*(1-$C$40)*(1-F$34),E138*(1-F$34)))+M138</f>
        <v>0</v>
      </c>
      <c r="X138" s="179">
        <f>IF(C138&gt;$C$10,0,IF(AND($C$38&gt;0,A138&gt;=$C$38,EOMONTH(A138,0)&lt;=$C$39),E138*(1-$C$40)*(1-G$34),E138*(1-G$34)))+M138</f>
        <v>0</v>
      </c>
      <c r="Y138" s="178">
        <f>IF(C138&gt;$C$10,0,IF(AND($C$38&gt;0,A138&gt;=$C$38,EOMONTH(A138,0)&lt;=$C$39),E138*(1-$C$40)*(1-H$34),E138*(1-H$34)))+M138</f>
        <v>0</v>
      </c>
      <c r="Z138" s="179">
        <f>IF(C138&gt;$C$10,0,IF(AND($C$38&gt;0,A138&gt;=$C$38,EOMONTH(A138,0)&lt;=$C$39),E138*(1-$C$40)*(1-I$34),E138*(1-I$34)))+M138</f>
        <v>0</v>
      </c>
      <c r="AA138" s="180">
        <f>IF(C138&gt;$C$10,0,IF(AND($C$38&gt;0,A138&gt;=$C$38,EOMONTH(A138,0)&lt;=$C$39),E138*(1-$C$40)*(1-J$34),E138*(1-J$34)))+M138</f>
        <v>0</v>
      </c>
    </row>
    <row r="139" spans="1:27" x14ac:dyDescent="0.25">
      <c r="A139" s="98">
        <f>EDATE($C$8,64)</f>
        <v>1947</v>
      </c>
      <c r="B139" s="99">
        <f>EDATE($C$8,65)-1</f>
        <v>1977</v>
      </c>
      <c r="C139" s="92">
        <f t="shared" si="10"/>
        <v>65</v>
      </c>
      <c r="D139" s="100">
        <f t="shared" ref="D139:D198" si="13">INT((C139-1)/12)+1</f>
        <v>6</v>
      </c>
      <c r="E139" s="101">
        <f t="shared" ref="E139:E198" si="14">IF(C139&gt;$C$10,0,$C$21*(1+$C$29)^(D139-1))</f>
        <v>0</v>
      </c>
      <c r="F139" s="94">
        <f t="shared" si="11"/>
        <v>0</v>
      </c>
      <c r="G139" s="95">
        <f t="shared" si="12"/>
        <v>0</v>
      </c>
      <c r="H139" s="94">
        <f t="shared" ref="H139:H198" si="15">IF(C139&gt;$C$10,0,$C$24*(1+$C$30)^(D139-1))</f>
        <v>0</v>
      </c>
      <c r="I139" s="94">
        <f t="shared" ref="I139:I198" si="16">IF(C139&gt;$C$10,0,$C$22*(1+$C$31)^(D139-1))</f>
        <v>0</v>
      </c>
      <c r="J139" s="94">
        <f t="shared" ref="J139:J198" si="17">IF(C139&gt;$C$10,0,$C$23*(1+$C$32)^(D139-1))</f>
        <v>0</v>
      </c>
      <c r="K139" s="94">
        <f t="shared" ref="K139:K198" si="18">IF(C139&gt;$C$10,0,$C$25*(1+$C$33)^(D139-1))</f>
        <v>0</v>
      </c>
      <c r="L139" s="94">
        <f t="shared" ref="L139:L198" si="19">IF(C139&gt;$C$10,0,$C$26*(1+$C$34)^(D139-1))</f>
        <v>0</v>
      </c>
      <c r="M139" s="94">
        <f t="shared" ref="M139:M198" si="20">H139+I139+J139+K139+L139</f>
        <v>0</v>
      </c>
      <c r="N139" s="101">
        <f t="shared" ref="N139:N198" si="21">F139+M139</f>
        <v>0</v>
      </c>
      <c r="O139" s="102">
        <f t="shared" ref="O139:O198" si="22">IF($C$7=0,0,N139/$C$7)</f>
        <v>0</v>
      </c>
      <c r="P139" s="101">
        <f>MAX(SUM(N139:N198)+S139,0)</f>
        <v>0</v>
      </c>
      <c r="Q139" s="101">
        <f>SUM(F139:F198)</f>
        <v>0</v>
      </c>
      <c r="R139" s="101">
        <f>SUM(M139:M198)</f>
        <v>0</v>
      </c>
      <c r="S139" s="103">
        <f>SUMPRODUCT(($C$55:$C$67)*($D$55:$D$67&gt;=$A139))</f>
        <v>0</v>
      </c>
      <c r="T139" s="150">
        <f>IF(C139&gt;$C$10,0,IF(AND($C$38&gt;0,A139&gt;=$C$38,EOMONTH(A139,0)&lt;=$C$39),E139*(1-$C$40)*(1-G$15),E139*(1-G$15)))+M139</f>
        <v>0</v>
      </c>
      <c r="U139" s="150">
        <f>IF(C139&gt;$C$10,0,IF(AND($C$38&gt;0,A139&gt;=$C$38,EOMONTH(A139,0)&lt;=$C$39),E139*(1-$C$40)*(1-H$15),E139*(1-H$15)))+M139</f>
        <v>0</v>
      </c>
      <c r="V139" s="150">
        <f>IF(C139&gt;$C$10,0,IF(AND($C$38&gt;0,A139&gt;=$C$38,EOMONTH(A139,0)&lt;=$C$39),E139*(1-$C$40)*(1-I$15),E139*(1-I$15)))+M139</f>
        <v>0</v>
      </c>
      <c r="W139" s="181">
        <f>IF(C139&gt;$C$10,0,IF(AND($C$38&gt;0,A139&gt;=$C$38,EOMONTH(A139,0)&lt;=$C$39),E139*(1-$C$40)*(1-F$34),E139*(1-F$34)))+M139</f>
        <v>0</v>
      </c>
      <c r="X139" s="179">
        <f>IF(C139&gt;$C$10,0,IF(AND($C$38&gt;0,A139&gt;=$C$38,EOMONTH(A139,0)&lt;=$C$39),E139*(1-$C$40)*(1-G$34),E139*(1-G$34)))+M139</f>
        <v>0</v>
      </c>
      <c r="Y139" s="178">
        <f>IF(C139&gt;$C$10,0,IF(AND($C$38&gt;0,A139&gt;=$C$38,EOMONTH(A139,0)&lt;=$C$39),E139*(1-$C$40)*(1-H$34),E139*(1-H$34)))+M139</f>
        <v>0</v>
      </c>
      <c r="Z139" s="179">
        <f>IF(C139&gt;$C$10,0,IF(AND($C$38&gt;0,A139&gt;=$C$38,EOMONTH(A139,0)&lt;=$C$39),E139*(1-$C$40)*(1-I$34),E139*(1-I$34)))+M139</f>
        <v>0</v>
      </c>
      <c r="AA139" s="180">
        <f>IF(C139&gt;$C$10,0,IF(AND($C$38&gt;0,A139&gt;=$C$38,EOMONTH(A139,0)&lt;=$C$39),E139*(1-$C$40)*(1-J$34),E139*(1-J$34)))+M139</f>
        <v>0</v>
      </c>
    </row>
    <row r="140" spans="1:27" x14ac:dyDescent="0.25">
      <c r="A140" s="104">
        <f>EDATE($C$8,65)</f>
        <v>1978</v>
      </c>
      <c r="B140" s="105">
        <f>EDATE($C$8,66)-1</f>
        <v>2007</v>
      </c>
      <c r="C140" s="92">
        <f t="shared" ref="C140:C198" si="23">ROW()-ROW($C$74)</f>
        <v>66</v>
      </c>
      <c r="D140" s="106">
        <f t="shared" si="13"/>
        <v>6</v>
      </c>
      <c r="E140" s="107">
        <f t="shared" si="14"/>
        <v>0</v>
      </c>
      <c r="F140" s="94">
        <f t="shared" ref="F140:F198" si="24">IF(C140&gt;$C$10,0,IF(AND($C$38&gt;0,A140&gt;=$C$38,EOMONTH(A140,0)&lt;=$C$39),E140*(1-$C$40),E140))</f>
        <v>0</v>
      </c>
      <c r="G140" s="95">
        <f t="shared" ref="G140:G198" si="25">IF(C140&gt;$C$10,0,IF(AND($C$38&gt;0,A140&gt;=$C$38,EOMONTH(A140,0)&lt;=$C$39),-E140*$C$40,0))</f>
        <v>0</v>
      </c>
      <c r="H140" s="94">
        <f t="shared" si="15"/>
        <v>0</v>
      </c>
      <c r="I140" s="94">
        <f t="shared" si="16"/>
        <v>0</v>
      </c>
      <c r="J140" s="94">
        <f t="shared" si="17"/>
        <v>0</v>
      </c>
      <c r="K140" s="94">
        <f t="shared" si="18"/>
        <v>0</v>
      </c>
      <c r="L140" s="94">
        <f t="shared" si="19"/>
        <v>0</v>
      </c>
      <c r="M140" s="94">
        <f t="shared" si="20"/>
        <v>0</v>
      </c>
      <c r="N140" s="107">
        <f t="shared" si="21"/>
        <v>0</v>
      </c>
      <c r="O140" s="108">
        <f t="shared" si="22"/>
        <v>0</v>
      </c>
      <c r="P140" s="107">
        <f>MAX(SUM(N140:N198)+S140,0)</f>
        <v>0</v>
      </c>
      <c r="Q140" s="107">
        <f>SUM(F140:F198)</f>
        <v>0</v>
      </c>
      <c r="R140" s="107">
        <f>SUM(M140:M198)</f>
        <v>0</v>
      </c>
      <c r="S140" s="109">
        <f>SUMPRODUCT(($C$55:$C$67)*($D$55:$D$67&gt;=$A140))</f>
        <v>0</v>
      </c>
      <c r="T140" s="150">
        <f>IF(C140&gt;$C$10,0,IF(AND($C$38&gt;0,A140&gt;=$C$38,EOMONTH(A140,0)&lt;=$C$39),E140*(1-$C$40)*(1-G$15),E140*(1-G$15)))+M140</f>
        <v>0</v>
      </c>
      <c r="U140" s="150">
        <f>IF(C140&gt;$C$10,0,IF(AND($C$38&gt;0,A140&gt;=$C$38,EOMONTH(A140,0)&lt;=$C$39),E140*(1-$C$40)*(1-H$15),E140*(1-H$15)))+M140</f>
        <v>0</v>
      </c>
      <c r="V140" s="150">
        <f>IF(C140&gt;$C$10,0,IF(AND($C$38&gt;0,A140&gt;=$C$38,EOMONTH(A140,0)&lt;=$C$39),E140*(1-$C$40)*(1-I$15),E140*(1-I$15)))+M140</f>
        <v>0</v>
      </c>
      <c r="W140" s="181">
        <f>IF(C140&gt;$C$10,0,IF(AND($C$38&gt;0,A140&gt;=$C$38,EOMONTH(A140,0)&lt;=$C$39),E140*(1-$C$40)*(1-F$34),E140*(1-F$34)))+M140</f>
        <v>0</v>
      </c>
      <c r="X140" s="179">
        <f>IF(C140&gt;$C$10,0,IF(AND($C$38&gt;0,A140&gt;=$C$38,EOMONTH(A140,0)&lt;=$C$39),E140*(1-$C$40)*(1-G$34),E140*(1-G$34)))+M140</f>
        <v>0</v>
      </c>
      <c r="Y140" s="178">
        <f>IF(C140&gt;$C$10,0,IF(AND($C$38&gt;0,A140&gt;=$C$38,EOMONTH(A140,0)&lt;=$C$39),E140*(1-$C$40)*(1-H$34),E140*(1-H$34)))+M140</f>
        <v>0</v>
      </c>
      <c r="Z140" s="179">
        <f>IF(C140&gt;$C$10,0,IF(AND($C$38&gt;0,A140&gt;=$C$38,EOMONTH(A140,0)&lt;=$C$39),E140*(1-$C$40)*(1-I$34),E140*(1-I$34)))+M140</f>
        <v>0</v>
      </c>
      <c r="AA140" s="180">
        <f>IF(C140&gt;$C$10,0,IF(AND($C$38&gt;0,A140&gt;=$C$38,EOMONTH(A140,0)&lt;=$C$39),E140*(1-$C$40)*(1-J$34),E140*(1-J$34)))+M140</f>
        <v>0</v>
      </c>
    </row>
    <row r="141" spans="1:27" x14ac:dyDescent="0.25">
      <c r="A141" s="98">
        <f>EDATE($C$8,66)</f>
        <v>2008</v>
      </c>
      <c r="B141" s="99">
        <f>EDATE($C$8,67)-1</f>
        <v>2038</v>
      </c>
      <c r="C141" s="92">
        <f t="shared" si="23"/>
        <v>67</v>
      </c>
      <c r="D141" s="100">
        <f t="shared" si="13"/>
        <v>6</v>
      </c>
      <c r="E141" s="101">
        <f t="shared" si="14"/>
        <v>0</v>
      </c>
      <c r="F141" s="94">
        <f t="shared" si="24"/>
        <v>0</v>
      </c>
      <c r="G141" s="95">
        <f t="shared" si="25"/>
        <v>0</v>
      </c>
      <c r="H141" s="94">
        <f t="shared" si="15"/>
        <v>0</v>
      </c>
      <c r="I141" s="94">
        <f t="shared" si="16"/>
        <v>0</v>
      </c>
      <c r="J141" s="94">
        <f t="shared" si="17"/>
        <v>0</v>
      </c>
      <c r="K141" s="94">
        <f t="shared" si="18"/>
        <v>0</v>
      </c>
      <c r="L141" s="94">
        <f t="shared" si="19"/>
        <v>0</v>
      </c>
      <c r="M141" s="94">
        <f t="shared" si="20"/>
        <v>0</v>
      </c>
      <c r="N141" s="101">
        <f t="shared" si="21"/>
        <v>0</v>
      </c>
      <c r="O141" s="102">
        <f t="shared" si="22"/>
        <v>0</v>
      </c>
      <c r="P141" s="101">
        <f>MAX(SUM(N141:N198)+S141,0)</f>
        <v>0</v>
      </c>
      <c r="Q141" s="101">
        <f>SUM(F141:F198)</f>
        <v>0</v>
      </c>
      <c r="R141" s="101">
        <f>SUM(M141:M198)</f>
        <v>0</v>
      </c>
      <c r="S141" s="103">
        <f>SUMPRODUCT(($C$55:$C$67)*($D$55:$D$67&gt;=$A141))</f>
        <v>0</v>
      </c>
      <c r="T141" s="150">
        <f>IF(C141&gt;$C$10,0,IF(AND($C$38&gt;0,A141&gt;=$C$38,EOMONTH(A141,0)&lt;=$C$39),E141*(1-$C$40)*(1-G$15),E141*(1-G$15)))+M141</f>
        <v>0</v>
      </c>
      <c r="U141" s="150">
        <f>IF(C141&gt;$C$10,0,IF(AND($C$38&gt;0,A141&gt;=$C$38,EOMONTH(A141,0)&lt;=$C$39),E141*(1-$C$40)*(1-H$15),E141*(1-H$15)))+M141</f>
        <v>0</v>
      </c>
      <c r="V141" s="150">
        <f>IF(C141&gt;$C$10,0,IF(AND($C$38&gt;0,A141&gt;=$C$38,EOMONTH(A141,0)&lt;=$C$39),E141*(1-$C$40)*(1-I$15),E141*(1-I$15)))+M141</f>
        <v>0</v>
      </c>
      <c r="W141" s="181">
        <f>IF(C141&gt;$C$10,0,IF(AND($C$38&gt;0,A141&gt;=$C$38,EOMONTH(A141,0)&lt;=$C$39),E141*(1-$C$40)*(1-F$34),E141*(1-F$34)))+M141</f>
        <v>0</v>
      </c>
      <c r="X141" s="179">
        <f>IF(C141&gt;$C$10,0,IF(AND($C$38&gt;0,A141&gt;=$C$38,EOMONTH(A141,0)&lt;=$C$39),E141*(1-$C$40)*(1-G$34),E141*(1-G$34)))+M141</f>
        <v>0</v>
      </c>
      <c r="Y141" s="178">
        <f>IF(C141&gt;$C$10,0,IF(AND($C$38&gt;0,A141&gt;=$C$38,EOMONTH(A141,0)&lt;=$C$39),E141*(1-$C$40)*(1-H$34),E141*(1-H$34)))+M141</f>
        <v>0</v>
      </c>
      <c r="Z141" s="179">
        <f>IF(C141&gt;$C$10,0,IF(AND($C$38&gt;0,A141&gt;=$C$38,EOMONTH(A141,0)&lt;=$C$39),E141*(1-$C$40)*(1-I$34),E141*(1-I$34)))+M141</f>
        <v>0</v>
      </c>
      <c r="AA141" s="180">
        <f>IF(C141&gt;$C$10,0,IF(AND($C$38&gt;0,A141&gt;=$C$38,EOMONTH(A141,0)&lt;=$C$39),E141*(1-$C$40)*(1-J$34),E141*(1-J$34)))+M141</f>
        <v>0</v>
      </c>
    </row>
    <row r="142" spans="1:27" x14ac:dyDescent="0.25">
      <c r="A142" s="104">
        <f>EDATE($C$8,67)</f>
        <v>2039</v>
      </c>
      <c r="B142" s="105">
        <f>EDATE($C$8,68)-1</f>
        <v>2069</v>
      </c>
      <c r="C142" s="92">
        <f t="shared" si="23"/>
        <v>68</v>
      </c>
      <c r="D142" s="106">
        <f t="shared" si="13"/>
        <v>6</v>
      </c>
      <c r="E142" s="107">
        <f t="shared" si="14"/>
        <v>0</v>
      </c>
      <c r="F142" s="94">
        <f t="shared" si="24"/>
        <v>0</v>
      </c>
      <c r="G142" s="95">
        <f t="shared" si="25"/>
        <v>0</v>
      </c>
      <c r="H142" s="94">
        <f t="shared" si="15"/>
        <v>0</v>
      </c>
      <c r="I142" s="94">
        <f t="shared" si="16"/>
        <v>0</v>
      </c>
      <c r="J142" s="94">
        <f t="shared" si="17"/>
        <v>0</v>
      </c>
      <c r="K142" s="94">
        <f t="shared" si="18"/>
        <v>0</v>
      </c>
      <c r="L142" s="94">
        <f t="shared" si="19"/>
        <v>0</v>
      </c>
      <c r="M142" s="94">
        <f t="shared" si="20"/>
        <v>0</v>
      </c>
      <c r="N142" s="107">
        <f t="shared" si="21"/>
        <v>0</v>
      </c>
      <c r="O142" s="108">
        <f t="shared" si="22"/>
        <v>0</v>
      </c>
      <c r="P142" s="107">
        <f>MAX(SUM(N142:N198)+S142,0)</f>
        <v>0</v>
      </c>
      <c r="Q142" s="107">
        <f>SUM(F142:F198)</f>
        <v>0</v>
      </c>
      <c r="R142" s="107">
        <f>SUM(M142:M198)</f>
        <v>0</v>
      </c>
      <c r="S142" s="109">
        <f>SUMPRODUCT(($C$55:$C$67)*($D$55:$D$67&gt;=$A142))</f>
        <v>0</v>
      </c>
      <c r="T142" s="150">
        <f>IF(C142&gt;$C$10,0,IF(AND($C$38&gt;0,A142&gt;=$C$38,EOMONTH(A142,0)&lt;=$C$39),E142*(1-$C$40)*(1-G$15),E142*(1-G$15)))+M142</f>
        <v>0</v>
      </c>
      <c r="U142" s="150">
        <f>IF(C142&gt;$C$10,0,IF(AND($C$38&gt;0,A142&gt;=$C$38,EOMONTH(A142,0)&lt;=$C$39),E142*(1-$C$40)*(1-H$15),E142*(1-H$15)))+M142</f>
        <v>0</v>
      </c>
      <c r="V142" s="150">
        <f>IF(C142&gt;$C$10,0,IF(AND($C$38&gt;0,A142&gt;=$C$38,EOMONTH(A142,0)&lt;=$C$39),E142*(1-$C$40)*(1-I$15),E142*(1-I$15)))+M142</f>
        <v>0</v>
      </c>
      <c r="W142" s="181">
        <f>IF(C142&gt;$C$10,0,IF(AND($C$38&gt;0,A142&gt;=$C$38,EOMONTH(A142,0)&lt;=$C$39),E142*(1-$C$40)*(1-F$34),E142*(1-F$34)))+M142</f>
        <v>0</v>
      </c>
      <c r="X142" s="179">
        <f>IF(C142&gt;$C$10,0,IF(AND($C$38&gt;0,A142&gt;=$C$38,EOMONTH(A142,0)&lt;=$C$39),E142*(1-$C$40)*(1-G$34),E142*(1-G$34)))+M142</f>
        <v>0</v>
      </c>
      <c r="Y142" s="178">
        <f>IF(C142&gt;$C$10,0,IF(AND($C$38&gt;0,A142&gt;=$C$38,EOMONTH(A142,0)&lt;=$C$39),E142*(1-$C$40)*(1-H$34),E142*(1-H$34)))+M142</f>
        <v>0</v>
      </c>
      <c r="Z142" s="179">
        <f>IF(C142&gt;$C$10,0,IF(AND($C$38&gt;0,A142&gt;=$C$38,EOMONTH(A142,0)&lt;=$C$39),E142*(1-$C$40)*(1-I$34),E142*(1-I$34)))+M142</f>
        <v>0</v>
      </c>
      <c r="AA142" s="180">
        <f>IF(C142&gt;$C$10,0,IF(AND($C$38&gt;0,A142&gt;=$C$38,EOMONTH(A142,0)&lt;=$C$39),E142*(1-$C$40)*(1-J$34),E142*(1-J$34)))+M142</f>
        <v>0</v>
      </c>
    </row>
    <row r="143" spans="1:27" x14ac:dyDescent="0.25">
      <c r="A143" s="98">
        <f>EDATE($C$8,68)</f>
        <v>2070</v>
      </c>
      <c r="B143" s="99">
        <f>EDATE($C$8,69)-1</f>
        <v>2099</v>
      </c>
      <c r="C143" s="92">
        <f t="shared" si="23"/>
        <v>69</v>
      </c>
      <c r="D143" s="100">
        <f t="shared" si="13"/>
        <v>6</v>
      </c>
      <c r="E143" s="101">
        <f t="shared" si="14"/>
        <v>0</v>
      </c>
      <c r="F143" s="94">
        <f t="shared" si="24"/>
        <v>0</v>
      </c>
      <c r="G143" s="95">
        <f t="shared" si="25"/>
        <v>0</v>
      </c>
      <c r="H143" s="94">
        <f t="shared" si="15"/>
        <v>0</v>
      </c>
      <c r="I143" s="94">
        <f t="shared" si="16"/>
        <v>0</v>
      </c>
      <c r="J143" s="94">
        <f t="shared" si="17"/>
        <v>0</v>
      </c>
      <c r="K143" s="94">
        <f t="shared" si="18"/>
        <v>0</v>
      </c>
      <c r="L143" s="94">
        <f t="shared" si="19"/>
        <v>0</v>
      </c>
      <c r="M143" s="94">
        <f t="shared" si="20"/>
        <v>0</v>
      </c>
      <c r="N143" s="101">
        <f t="shared" si="21"/>
        <v>0</v>
      </c>
      <c r="O143" s="102">
        <f t="shared" si="22"/>
        <v>0</v>
      </c>
      <c r="P143" s="101">
        <f>MAX(SUM(N143:N198)+S143,0)</f>
        <v>0</v>
      </c>
      <c r="Q143" s="101">
        <f>SUM(F143:F198)</f>
        <v>0</v>
      </c>
      <c r="R143" s="101">
        <f>SUM(M143:M198)</f>
        <v>0</v>
      </c>
      <c r="S143" s="103">
        <f>SUMPRODUCT(($C$55:$C$67)*($D$55:$D$67&gt;=$A143))</f>
        <v>0</v>
      </c>
      <c r="T143" s="150">
        <f>IF(C143&gt;$C$10,0,IF(AND($C$38&gt;0,A143&gt;=$C$38,EOMONTH(A143,0)&lt;=$C$39),E143*(1-$C$40)*(1-G$15),E143*(1-G$15)))+M143</f>
        <v>0</v>
      </c>
      <c r="U143" s="150">
        <f>IF(C143&gt;$C$10,0,IF(AND($C$38&gt;0,A143&gt;=$C$38,EOMONTH(A143,0)&lt;=$C$39),E143*(1-$C$40)*(1-H$15),E143*(1-H$15)))+M143</f>
        <v>0</v>
      </c>
      <c r="V143" s="150">
        <f>IF(C143&gt;$C$10,0,IF(AND($C$38&gt;0,A143&gt;=$C$38,EOMONTH(A143,0)&lt;=$C$39),E143*(1-$C$40)*(1-I$15),E143*(1-I$15)))+M143</f>
        <v>0</v>
      </c>
      <c r="W143" s="181">
        <f>IF(C143&gt;$C$10,0,IF(AND($C$38&gt;0,A143&gt;=$C$38,EOMONTH(A143,0)&lt;=$C$39),E143*(1-$C$40)*(1-F$34),E143*(1-F$34)))+M143</f>
        <v>0</v>
      </c>
      <c r="X143" s="179">
        <f>IF(C143&gt;$C$10,0,IF(AND($C$38&gt;0,A143&gt;=$C$38,EOMONTH(A143,0)&lt;=$C$39),E143*(1-$C$40)*(1-G$34),E143*(1-G$34)))+M143</f>
        <v>0</v>
      </c>
      <c r="Y143" s="178">
        <f>IF(C143&gt;$C$10,0,IF(AND($C$38&gt;0,A143&gt;=$C$38,EOMONTH(A143,0)&lt;=$C$39),E143*(1-$C$40)*(1-H$34),E143*(1-H$34)))+M143</f>
        <v>0</v>
      </c>
      <c r="Z143" s="179">
        <f>IF(C143&gt;$C$10,0,IF(AND($C$38&gt;0,A143&gt;=$C$38,EOMONTH(A143,0)&lt;=$C$39),E143*(1-$C$40)*(1-I$34),E143*(1-I$34)))+M143</f>
        <v>0</v>
      </c>
      <c r="AA143" s="180">
        <f>IF(C143&gt;$C$10,0,IF(AND($C$38&gt;0,A143&gt;=$C$38,EOMONTH(A143,0)&lt;=$C$39),E143*(1-$C$40)*(1-J$34),E143*(1-J$34)))+M143</f>
        <v>0</v>
      </c>
    </row>
    <row r="144" spans="1:27" x14ac:dyDescent="0.25">
      <c r="A144" s="104">
        <f>EDATE($C$8,69)</f>
        <v>2100</v>
      </c>
      <c r="B144" s="105">
        <f>EDATE($C$8,70)-1</f>
        <v>2130</v>
      </c>
      <c r="C144" s="92">
        <f t="shared" si="23"/>
        <v>70</v>
      </c>
      <c r="D144" s="106">
        <f t="shared" si="13"/>
        <v>6</v>
      </c>
      <c r="E144" s="107">
        <f t="shared" si="14"/>
        <v>0</v>
      </c>
      <c r="F144" s="94">
        <f t="shared" si="24"/>
        <v>0</v>
      </c>
      <c r="G144" s="95">
        <f t="shared" si="25"/>
        <v>0</v>
      </c>
      <c r="H144" s="94">
        <f t="shared" si="15"/>
        <v>0</v>
      </c>
      <c r="I144" s="94">
        <f t="shared" si="16"/>
        <v>0</v>
      </c>
      <c r="J144" s="94">
        <f t="shared" si="17"/>
        <v>0</v>
      </c>
      <c r="K144" s="94">
        <f t="shared" si="18"/>
        <v>0</v>
      </c>
      <c r="L144" s="94">
        <f t="shared" si="19"/>
        <v>0</v>
      </c>
      <c r="M144" s="94">
        <f t="shared" si="20"/>
        <v>0</v>
      </c>
      <c r="N144" s="107">
        <f t="shared" si="21"/>
        <v>0</v>
      </c>
      <c r="O144" s="108">
        <f t="shared" si="22"/>
        <v>0</v>
      </c>
      <c r="P144" s="107">
        <f>MAX(SUM(N144:N198)+S144,0)</f>
        <v>0</v>
      </c>
      <c r="Q144" s="107">
        <f>SUM(F144:F198)</f>
        <v>0</v>
      </c>
      <c r="R144" s="107">
        <f>SUM(M144:M198)</f>
        <v>0</v>
      </c>
      <c r="S144" s="109">
        <f>SUMPRODUCT(($C$55:$C$67)*($D$55:$D$67&gt;=$A144))</f>
        <v>0</v>
      </c>
      <c r="T144" s="150">
        <f>IF(C144&gt;$C$10,0,IF(AND($C$38&gt;0,A144&gt;=$C$38,EOMONTH(A144,0)&lt;=$C$39),E144*(1-$C$40)*(1-G$15),E144*(1-G$15)))+M144</f>
        <v>0</v>
      </c>
      <c r="U144" s="150">
        <f>IF(C144&gt;$C$10,0,IF(AND($C$38&gt;0,A144&gt;=$C$38,EOMONTH(A144,0)&lt;=$C$39),E144*(1-$C$40)*(1-H$15),E144*(1-H$15)))+M144</f>
        <v>0</v>
      </c>
      <c r="V144" s="150">
        <f>IF(C144&gt;$C$10,0,IF(AND($C$38&gt;0,A144&gt;=$C$38,EOMONTH(A144,0)&lt;=$C$39),E144*(1-$C$40)*(1-I$15),E144*(1-I$15)))+M144</f>
        <v>0</v>
      </c>
      <c r="W144" s="181">
        <f>IF(C144&gt;$C$10,0,IF(AND($C$38&gt;0,A144&gt;=$C$38,EOMONTH(A144,0)&lt;=$C$39),E144*(1-$C$40)*(1-F$34),E144*(1-F$34)))+M144</f>
        <v>0</v>
      </c>
      <c r="X144" s="179">
        <f>IF(C144&gt;$C$10,0,IF(AND($C$38&gt;0,A144&gt;=$C$38,EOMONTH(A144,0)&lt;=$C$39),E144*(1-$C$40)*(1-G$34),E144*(1-G$34)))+M144</f>
        <v>0</v>
      </c>
      <c r="Y144" s="178">
        <f>IF(C144&gt;$C$10,0,IF(AND($C$38&gt;0,A144&gt;=$C$38,EOMONTH(A144,0)&lt;=$C$39),E144*(1-$C$40)*(1-H$34),E144*(1-H$34)))+M144</f>
        <v>0</v>
      </c>
      <c r="Z144" s="179">
        <f>IF(C144&gt;$C$10,0,IF(AND($C$38&gt;0,A144&gt;=$C$38,EOMONTH(A144,0)&lt;=$C$39),E144*(1-$C$40)*(1-I$34),E144*(1-I$34)))+M144</f>
        <v>0</v>
      </c>
      <c r="AA144" s="180">
        <f>IF(C144&gt;$C$10,0,IF(AND($C$38&gt;0,A144&gt;=$C$38,EOMONTH(A144,0)&lt;=$C$39),E144*(1-$C$40)*(1-J$34),E144*(1-J$34)))+M144</f>
        <v>0</v>
      </c>
    </row>
    <row r="145" spans="1:27" x14ac:dyDescent="0.25">
      <c r="A145" s="98">
        <f>EDATE($C$8,70)</f>
        <v>2131</v>
      </c>
      <c r="B145" s="99">
        <f>EDATE($C$8,71)-1</f>
        <v>2160</v>
      </c>
      <c r="C145" s="92">
        <f t="shared" si="23"/>
        <v>71</v>
      </c>
      <c r="D145" s="100">
        <f t="shared" si="13"/>
        <v>6</v>
      </c>
      <c r="E145" s="101">
        <f t="shared" si="14"/>
        <v>0</v>
      </c>
      <c r="F145" s="94">
        <f t="shared" si="24"/>
        <v>0</v>
      </c>
      <c r="G145" s="95">
        <f t="shared" si="25"/>
        <v>0</v>
      </c>
      <c r="H145" s="94">
        <f t="shared" si="15"/>
        <v>0</v>
      </c>
      <c r="I145" s="94">
        <f t="shared" si="16"/>
        <v>0</v>
      </c>
      <c r="J145" s="94">
        <f t="shared" si="17"/>
        <v>0</v>
      </c>
      <c r="K145" s="94">
        <f t="shared" si="18"/>
        <v>0</v>
      </c>
      <c r="L145" s="94">
        <f t="shared" si="19"/>
        <v>0</v>
      </c>
      <c r="M145" s="94">
        <f t="shared" si="20"/>
        <v>0</v>
      </c>
      <c r="N145" s="101">
        <f t="shared" si="21"/>
        <v>0</v>
      </c>
      <c r="O145" s="102">
        <f t="shared" si="22"/>
        <v>0</v>
      </c>
      <c r="P145" s="101">
        <f>MAX(SUM(N145:N198)+S145,0)</f>
        <v>0</v>
      </c>
      <c r="Q145" s="101">
        <f>SUM(F145:F198)</f>
        <v>0</v>
      </c>
      <c r="R145" s="101">
        <f>SUM(M145:M198)</f>
        <v>0</v>
      </c>
      <c r="S145" s="103">
        <f>SUMPRODUCT(($C$55:$C$67)*($D$55:$D$67&gt;=$A145))</f>
        <v>0</v>
      </c>
      <c r="T145" s="150">
        <f>IF(C145&gt;$C$10,0,IF(AND($C$38&gt;0,A145&gt;=$C$38,EOMONTH(A145,0)&lt;=$C$39),E145*(1-$C$40)*(1-G$15),E145*(1-G$15)))+M145</f>
        <v>0</v>
      </c>
      <c r="U145" s="150">
        <f>IF(C145&gt;$C$10,0,IF(AND($C$38&gt;0,A145&gt;=$C$38,EOMONTH(A145,0)&lt;=$C$39),E145*(1-$C$40)*(1-H$15),E145*(1-H$15)))+M145</f>
        <v>0</v>
      </c>
      <c r="V145" s="150">
        <f>IF(C145&gt;$C$10,0,IF(AND($C$38&gt;0,A145&gt;=$C$38,EOMONTH(A145,0)&lt;=$C$39),E145*(1-$C$40)*(1-I$15),E145*(1-I$15)))+M145</f>
        <v>0</v>
      </c>
      <c r="W145" s="181">
        <f>IF(C145&gt;$C$10,0,IF(AND($C$38&gt;0,A145&gt;=$C$38,EOMONTH(A145,0)&lt;=$C$39),E145*(1-$C$40)*(1-F$34),E145*(1-F$34)))+M145</f>
        <v>0</v>
      </c>
      <c r="X145" s="179">
        <f>IF(C145&gt;$C$10,0,IF(AND($C$38&gt;0,A145&gt;=$C$38,EOMONTH(A145,0)&lt;=$C$39),E145*(1-$C$40)*(1-G$34),E145*(1-G$34)))+M145</f>
        <v>0</v>
      </c>
      <c r="Y145" s="178">
        <f>IF(C145&gt;$C$10,0,IF(AND($C$38&gt;0,A145&gt;=$C$38,EOMONTH(A145,0)&lt;=$C$39),E145*(1-$C$40)*(1-H$34),E145*(1-H$34)))+M145</f>
        <v>0</v>
      </c>
      <c r="Z145" s="179">
        <f>IF(C145&gt;$C$10,0,IF(AND($C$38&gt;0,A145&gt;=$C$38,EOMONTH(A145,0)&lt;=$C$39),E145*(1-$C$40)*(1-I$34),E145*(1-I$34)))+M145</f>
        <v>0</v>
      </c>
      <c r="AA145" s="180">
        <f>IF(C145&gt;$C$10,0,IF(AND($C$38&gt;0,A145&gt;=$C$38,EOMONTH(A145,0)&lt;=$C$39),E145*(1-$C$40)*(1-J$34),E145*(1-J$34)))+M145</f>
        <v>0</v>
      </c>
    </row>
    <row r="146" spans="1:27" x14ac:dyDescent="0.25">
      <c r="A146" s="104">
        <f>EDATE($C$8,71)</f>
        <v>2161</v>
      </c>
      <c r="B146" s="105">
        <f>EDATE($C$8,72)-1</f>
        <v>2191</v>
      </c>
      <c r="C146" s="92">
        <f t="shared" si="23"/>
        <v>72</v>
      </c>
      <c r="D146" s="106">
        <f t="shared" si="13"/>
        <v>6</v>
      </c>
      <c r="E146" s="107">
        <f t="shared" si="14"/>
        <v>0</v>
      </c>
      <c r="F146" s="94">
        <f t="shared" si="24"/>
        <v>0</v>
      </c>
      <c r="G146" s="95">
        <f t="shared" si="25"/>
        <v>0</v>
      </c>
      <c r="H146" s="94">
        <f t="shared" si="15"/>
        <v>0</v>
      </c>
      <c r="I146" s="94">
        <f t="shared" si="16"/>
        <v>0</v>
      </c>
      <c r="J146" s="94">
        <f t="shared" si="17"/>
        <v>0</v>
      </c>
      <c r="K146" s="94">
        <f t="shared" si="18"/>
        <v>0</v>
      </c>
      <c r="L146" s="94">
        <f t="shared" si="19"/>
        <v>0</v>
      </c>
      <c r="M146" s="94">
        <f t="shared" si="20"/>
        <v>0</v>
      </c>
      <c r="N146" s="107">
        <f t="shared" si="21"/>
        <v>0</v>
      </c>
      <c r="O146" s="108">
        <f t="shared" si="22"/>
        <v>0</v>
      </c>
      <c r="P146" s="107">
        <f>MAX(SUM(N146:N198)+S146,0)</f>
        <v>0</v>
      </c>
      <c r="Q146" s="107">
        <f>SUM(F146:F198)</f>
        <v>0</v>
      </c>
      <c r="R146" s="107">
        <f>SUM(M146:M198)</f>
        <v>0</v>
      </c>
      <c r="S146" s="109">
        <f>SUMPRODUCT(($C$55:$C$67)*($D$55:$D$67&gt;=$A146))</f>
        <v>0</v>
      </c>
      <c r="T146" s="150">
        <f>IF(C146&gt;$C$10,0,IF(AND($C$38&gt;0,A146&gt;=$C$38,EOMONTH(A146,0)&lt;=$C$39),E146*(1-$C$40)*(1-G$15),E146*(1-G$15)))+M146</f>
        <v>0</v>
      </c>
      <c r="U146" s="150">
        <f>IF(C146&gt;$C$10,0,IF(AND($C$38&gt;0,A146&gt;=$C$38,EOMONTH(A146,0)&lt;=$C$39),E146*(1-$C$40)*(1-H$15),E146*(1-H$15)))+M146</f>
        <v>0</v>
      </c>
      <c r="V146" s="150">
        <f>IF(C146&gt;$C$10,0,IF(AND($C$38&gt;0,A146&gt;=$C$38,EOMONTH(A146,0)&lt;=$C$39),E146*(1-$C$40)*(1-I$15),E146*(1-I$15)))+M146</f>
        <v>0</v>
      </c>
      <c r="W146" s="181">
        <f>IF(C146&gt;$C$10,0,IF(AND($C$38&gt;0,A146&gt;=$C$38,EOMONTH(A146,0)&lt;=$C$39),E146*(1-$C$40)*(1-F$34),E146*(1-F$34)))+M146</f>
        <v>0</v>
      </c>
      <c r="X146" s="179">
        <f>IF(C146&gt;$C$10,0,IF(AND($C$38&gt;0,A146&gt;=$C$38,EOMONTH(A146,0)&lt;=$C$39),E146*(1-$C$40)*(1-G$34),E146*(1-G$34)))+M146</f>
        <v>0</v>
      </c>
      <c r="Y146" s="178">
        <f>IF(C146&gt;$C$10,0,IF(AND($C$38&gt;0,A146&gt;=$C$38,EOMONTH(A146,0)&lt;=$C$39),E146*(1-$C$40)*(1-H$34),E146*(1-H$34)))+M146</f>
        <v>0</v>
      </c>
      <c r="Z146" s="179">
        <f>IF(C146&gt;$C$10,0,IF(AND($C$38&gt;0,A146&gt;=$C$38,EOMONTH(A146,0)&lt;=$C$39),E146*(1-$C$40)*(1-I$34),E146*(1-I$34)))+M146</f>
        <v>0</v>
      </c>
      <c r="AA146" s="180">
        <f>IF(C146&gt;$C$10,0,IF(AND($C$38&gt;0,A146&gt;=$C$38,EOMONTH(A146,0)&lt;=$C$39),E146*(1-$C$40)*(1-J$34),E146*(1-J$34)))+M146</f>
        <v>0</v>
      </c>
    </row>
    <row r="147" spans="1:27" x14ac:dyDescent="0.25">
      <c r="A147" s="98">
        <f>EDATE($C$8,72)</f>
        <v>2192</v>
      </c>
      <c r="B147" s="99">
        <f>EDATE($C$8,73)-1</f>
        <v>2222</v>
      </c>
      <c r="C147" s="92">
        <f t="shared" si="23"/>
        <v>73</v>
      </c>
      <c r="D147" s="100">
        <f t="shared" si="13"/>
        <v>7</v>
      </c>
      <c r="E147" s="101">
        <f t="shared" si="14"/>
        <v>0</v>
      </c>
      <c r="F147" s="94">
        <f t="shared" si="24"/>
        <v>0</v>
      </c>
      <c r="G147" s="95">
        <f t="shared" si="25"/>
        <v>0</v>
      </c>
      <c r="H147" s="94">
        <f t="shared" si="15"/>
        <v>0</v>
      </c>
      <c r="I147" s="94">
        <f t="shared" si="16"/>
        <v>0</v>
      </c>
      <c r="J147" s="94">
        <f t="shared" si="17"/>
        <v>0</v>
      </c>
      <c r="K147" s="94">
        <f t="shared" si="18"/>
        <v>0</v>
      </c>
      <c r="L147" s="94">
        <f t="shared" si="19"/>
        <v>0</v>
      </c>
      <c r="M147" s="94">
        <f t="shared" si="20"/>
        <v>0</v>
      </c>
      <c r="N147" s="101">
        <f t="shared" si="21"/>
        <v>0</v>
      </c>
      <c r="O147" s="102">
        <f t="shared" si="22"/>
        <v>0</v>
      </c>
      <c r="P147" s="101">
        <f>MAX(SUM(N147:N198)+S147,0)</f>
        <v>0</v>
      </c>
      <c r="Q147" s="101">
        <f>SUM(F147:F198)</f>
        <v>0</v>
      </c>
      <c r="R147" s="101">
        <f>SUM(M147:M198)</f>
        <v>0</v>
      </c>
      <c r="S147" s="103">
        <f>SUMPRODUCT(($C$55:$C$67)*($D$55:$D$67&gt;=$A147))</f>
        <v>0</v>
      </c>
      <c r="T147" s="150">
        <f>IF(C147&gt;$C$10,0,IF(AND($C$38&gt;0,A147&gt;=$C$38,EOMONTH(A147,0)&lt;=$C$39),E147*(1-$C$40)*(1-G$15),E147*(1-G$15)))+M147</f>
        <v>0</v>
      </c>
      <c r="U147" s="150">
        <f>IF(C147&gt;$C$10,0,IF(AND($C$38&gt;0,A147&gt;=$C$38,EOMONTH(A147,0)&lt;=$C$39),E147*(1-$C$40)*(1-H$15),E147*(1-H$15)))+M147</f>
        <v>0</v>
      </c>
      <c r="V147" s="150">
        <f>IF(C147&gt;$C$10,0,IF(AND($C$38&gt;0,A147&gt;=$C$38,EOMONTH(A147,0)&lt;=$C$39),E147*(1-$C$40)*(1-I$15),E147*(1-I$15)))+M147</f>
        <v>0</v>
      </c>
      <c r="W147" s="181">
        <f>IF(C147&gt;$C$10,0,IF(AND($C$38&gt;0,A147&gt;=$C$38,EOMONTH(A147,0)&lt;=$C$39),E147*(1-$C$40)*(1-F$34),E147*(1-F$34)))+M147</f>
        <v>0</v>
      </c>
      <c r="X147" s="179">
        <f>IF(C147&gt;$C$10,0,IF(AND($C$38&gt;0,A147&gt;=$C$38,EOMONTH(A147,0)&lt;=$C$39),E147*(1-$C$40)*(1-G$34),E147*(1-G$34)))+M147</f>
        <v>0</v>
      </c>
      <c r="Y147" s="178">
        <f>IF(C147&gt;$C$10,0,IF(AND($C$38&gt;0,A147&gt;=$C$38,EOMONTH(A147,0)&lt;=$C$39),E147*(1-$C$40)*(1-H$34),E147*(1-H$34)))+M147</f>
        <v>0</v>
      </c>
      <c r="Z147" s="179">
        <f>IF(C147&gt;$C$10,0,IF(AND($C$38&gt;0,A147&gt;=$C$38,EOMONTH(A147,0)&lt;=$C$39),E147*(1-$C$40)*(1-I$34),E147*(1-I$34)))+M147</f>
        <v>0</v>
      </c>
      <c r="AA147" s="180">
        <f>IF(C147&gt;$C$10,0,IF(AND($C$38&gt;0,A147&gt;=$C$38,EOMONTH(A147,0)&lt;=$C$39),E147*(1-$C$40)*(1-J$34),E147*(1-J$34)))+M147</f>
        <v>0</v>
      </c>
    </row>
    <row r="148" spans="1:27" x14ac:dyDescent="0.25">
      <c r="A148" s="104">
        <f>EDATE($C$8,73)</f>
        <v>2223</v>
      </c>
      <c r="B148" s="105">
        <f>EDATE($C$8,74)-1</f>
        <v>2250</v>
      </c>
      <c r="C148" s="92">
        <f t="shared" si="23"/>
        <v>74</v>
      </c>
      <c r="D148" s="106">
        <f t="shared" si="13"/>
        <v>7</v>
      </c>
      <c r="E148" s="107">
        <f t="shared" si="14"/>
        <v>0</v>
      </c>
      <c r="F148" s="94">
        <f t="shared" si="24"/>
        <v>0</v>
      </c>
      <c r="G148" s="95">
        <f t="shared" si="25"/>
        <v>0</v>
      </c>
      <c r="H148" s="94">
        <f t="shared" si="15"/>
        <v>0</v>
      </c>
      <c r="I148" s="94">
        <f t="shared" si="16"/>
        <v>0</v>
      </c>
      <c r="J148" s="94">
        <f t="shared" si="17"/>
        <v>0</v>
      </c>
      <c r="K148" s="94">
        <f t="shared" si="18"/>
        <v>0</v>
      </c>
      <c r="L148" s="94">
        <f t="shared" si="19"/>
        <v>0</v>
      </c>
      <c r="M148" s="94">
        <f t="shared" si="20"/>
        <v>0</v>
      </c>
      <c r="N148" s="107">
        <f t="shared" si="21"/>
        <v>0</v>
      </c>
      <c r="O148" s="108">
        <f t="shared" si="22"/>
        <v>0</v>
      </c>
      <c r="P148" s="107">
        <f>MAX(SUM(N148:N198)+S148,0)</f>
        <v>0</v>
      </c>
      <c r="Q148" s="107">
        <f>SUM(F148:F198)</f>
        <v>0</v>
      </c>
      <c r="R148" s="107">
        <f>SUM(M148:M198)</f>
        <v>0</v>
      </c>
      <c r="S148" s="109">
        <f>SUMPRODUCT(($C$55:$C$67)*($D$55:$D$67&gt;=$A148))</f>
        <v>0</v>
      </c>
      <c r="T148" s="150">
        <f>IF(C148&gt;$C$10,0,IF(AND($C$38&gt;0,A148&gt;=$C$38,EOMONTH(A148,0)&lt;=$C$39),E148*(1-$C$40)*(1-G$15),E148*(1-G$15)))+M148</f>
        <v>0</v>
      </c>
      <c r="U148" s="150">
        <f>IF(C148&gt;$C$10,0,IF(AND($C$38&gt;0,A148&gt;=$C$38,EOMONTH(A148,0)&lt;=$C$39),E148*(1-$C$40)*(1-H$15),E148*(1-H$15)))+M148</f>
        <v>0</v>
      </c>
      <c r="V148" s="150">
        <f>IF(C148&gt;$C$10,0,IF(AND($C$38&gt;0,A148&gt;=$C$38,EOMONTH(A148,0)&lt;=$C$39),E148*(1-$C$40)*(1-I$15),E148*(1-I$15)))+M148</f>
        <v>0</v>
      </c>
      <c r="W148" s="181">
        <f>IF(C148&gt;$C$10,0,IF(AND($C$38&gt;0,A148&gt;=$C$38,EOMONTH(A148,0)&lt;=$C$39),E148*(1-$C$40)*(1-F$34),E148*(1-F$34)))+M148</f>
        <v>0</v>
      </c>
      <c r="X148" s="179">
        <f>IF(C148&gt;$C$10,0,IF(AND($C$38&gt;0,A148&gt;=$C$38,EOMONTH(A148,0)&lt;=$C$39),E148*(1-$C$40)*(1-G$34),E148*(1-G$34)))+M148</f>
        <v>0</v>
      </c>
      <c r="Y148" s="178">
        <f>IF(C148&gt;$C$10,0,IF(AND($C$38&gt;0,A148&gt;=$C$38,EOMONTH(A148,0)&lt;=$C$39),E148*(1-$C$40)*(1-H$34),E148*(1-H$34)))+M148</f>
        <v>0</v>
      </c>
      <c r="Z148" s="179">
        <f>IF(C148&gt;$C$10,0,IF(AND($C$38&gt;0,A148&gt;=$C$38,EOMONTH(A148,0)&lt;=$C$39),E148*(1-$C$40)*(1-I$34),E148*(1-I$34)))+M148</f>
        <v>0</v>
      </c>
      <c r="AA148" s="180">
        <f>IF(C148&gt;$C$10,0,IF(AND($C$38&gt;0,A148&gt;=$C$38,EOMONTH(A148,0)&lt;=$C$39),E148*(1-$C$40)*(1-J$34),E148*(1-J$34)))+M148</f>
        <v>0</v>
      </c>
    </row>
    <row r="149" spans="1:27" x14ac:dyDescent="0.25">
      <c r="A149" s="98">
        <f>EDATE($C$8,74)</f>
        <v>2251</v>
      </c>
      <c r="B149" s="99">
        <f>EDATE($C$8,75)-1</f>
        <v>2281</v>
      </c>
      <c r="C149" s="92">
        <f t="shared" si="23"/>
        <v>75</v>
      </c>
      <c r="D149" s="100">
        <f t="shared" si="13"/>
        <v>7</v>
      </c>
      <c r="E149" s="101">
        <f t="shared" si="14"/>
        <v>0</v>
      </c>
      <c r="F149" s="94">
        <f t="shared" si="24"/>
        <v>0</v>
      </c>
      <c r="G149" s="95">
        <f t="shared" si="25"/>
        <v>0</v>
      </c>
      <c r="H149" s="94">
        <f t="shared" si="15"/>
        <v>0</v>
      </c>
      <c r="I149" s="94">
        <f t="shared" si="16"/>
        <v>0</v>
      </c>
      <c r="J149" s="94">
        <f t="shared" si="17"/>
        <v>0</v>
      </c>
      <c r="K149" s="94">
        <f t="shared" si="18"/>
        <v>0</v>
      </c>
      <c r="L149" s="94">
        <f t="shared" si="19"/>
        <v>0</v>
      </c>
      <c r="M149" s="94">
        <f t="shared" si="20"/>
        <v>0</v>
      </c>
      <c r="N149" s="101">
        <f t="shared" si="21"/>
        <v>0</v>
      </c>
      <c r="O149" s="102">
        <f t="shared" si="22"/>
        <v>0</v>
      </c>
      <c r="P149" s="101">
        <f>MAX(SUM(N149:N198)+S149,0)</f>
        <v>0</v>
      </c>
      <c r="Q149" s="101">
        <f>SUM(F149:F198)</f>
        <v>0</v>
      </c>
      <c r="R149" s="101">
        <f>SUM(M149:M198)</f>
        <v>0</v>
      </c>
      <c r="S149" s="103">
        <f>SUMPRODUCT(($C$55:$C$67)*($D$55:$D$67&gt;=$A149))</f>
        <v>0</v>
      </c>
      <c r="T149" s="150">
        <f>IF(C149&gt;$C$10,0,IF(AND($C$38&gt;0,A149&gt;=$C$38,EOMONTH(A149,0)&lt;=$C$39),E149*(1-$C$40)*(1-G$15),E149*(1-G$15)))+M149</f>
        <v>0</v>
      </c>
      <c r="U149" s="150">
        <f>IF(C149&gt;$C$10,0,IF(AND($C$38&gt;0,A149&gt;=$C$38,EOMONTH(A149,0)&lt;=$C$39),E149*(1-$C$40)*(1-H$15),E149*(1-H$15)))+M149</f>
        <v>0</v>
      </c>
      <c r="V149" s="150">
        <f>IF(C149&gt;$C$10,0,IF(AND($C$38&gt;0,A149&gt;=$C$38,EOMONTH(A149,0)&lt;=$C$39),E149*(1-$C$40)*(1-I$15),E149*(1-I$15)))+M149</f>
        <v>0</v>
      </c>
      <c r="W149" s="181">
        <f>IF(C149&gt;$C$10,0,IF(AND($C$38&gt;0,A149&gt;=$C$38,EOMONTH(A149,0)&lt;=$C$39),E149*(1-$C$40)*(1-F$34),E149*(1-F$34)))+M149</f>
        <v>0</v>
      </c>
      <c r="X149" s="179">
        <f>IF(C149&gt;$C$10,0,IF(AND($C$38&gt;0,A149&gt;=$C$38,EOMONTH(A149,0)&lt;=$C$39),E149*(1-$C$40)*(1-G$34),E149*(1-G$34)))+M149</f>
        <v>0</v>
      </c>
      <c r="Y149" s="178">
        <f>IF(C149&gt;$C$10,0,IF(AND($C$38&gt;0,A149&gt;=$C$38,EOMONTH(A149,0)&lt;=$C$39),E149*(1-$C$40)*(1-H$34),E149*(1-H$34)))+M149</f>
        <v>0</v>
      </c>
      <c r="Z149" s="179">
        <f>IF(C149&gt;$C$10,0,IF(AND($C$38&gt;0,A149&gt;=$C$38,EOMONTH(A149,0)&lt;=$C$39),E149*(1-$C$40)*(1-I$34),E149*(1-I$34)))+M149</f>
        <v>0</v>
      </c>
      <c r="AA149" s="180">
        <f>IF(C149&gt;$C$10,0,IF(AND($C$38&gt;0,A149&gt;=$C$38,EOMONTH(A149,0)&lt;=$C$39),E149*(1-$C$40)*(1-J$34),E149*(1-J$34)))+M149</f>
        <v>0</v>
      </c>
    </row>
    <row r="150" spans="1:27" x14ac:dyDescent="0.25">
      <c r="A150" s="104">
        <f>EDATE($C$8,75)</f>
        <v>2282</v>
      </c>
      <c r="B150" s="105">
        <f>EDATE($C$8,76)-1</f>
        <v>2311</v>
      </c>
      <c r="C150" s="92">
        <f t="shared" si="23"/>
        <v>76</v>
      </c>
      <c r="D150" s="106">
        <f t="shared" si="13"/>
        <v>7</v>
      </c>
      <c r="E150" s="107">
        <f t="shared" si="14"/>
        <v>0</v>
      </c>
      <c r="F150" s="94">
        <f t="shared" si="24"/>
        <v>0</v>
      </c>
      <c r="G150" s="95">
        <f t="shared" si="25"/>
        <v>0</v>
      </c>
      <c r="H150" s="94">
        <f t="shared" si="15"/>
        <v>0</v>
      </c>
      <c r="I150" s="94">
        <f t="shared" si="16"/>
        <v>0</v>
      </c>
      <c r="J150" s="94">
        <f t="shared" si="17"/>
        <v>0</v>
      </c>
      <c r="K150" s="94">
        <f t="shared" si="18"/>
        <v>0</v>
      </c>
      <c r="L150" s="94">
        <f t="shared" si="19"/>
        <v>0</v>
      </c>
      <c r="M150" s="94">
        <f t="shared" si="20"/>
        <v>0</v>
      </c>
      <c r="N150" s="107">
        <f t="shared" si="21"/>
        <v>0</v>
      </c>
      <c r="O150" s="108">
        <f t="shared" si="22"/>
        <v>0</v>
      </c>
      <c r="P150" s="107">
        <f>MAX(SUM(N150:N198)+S150,0)</f>
        <v>0</v>
      </c>
      <c r="Q150" s="107">
        <f>SUM(F150:F198)</f>
        <v>0</v>
      </c>
      <c r="R150" s="107">
        <f>SUM(M150:M198)</f>
        <v>0</v>
      </c>
      <c r="S150" s="109">
        <f>SUMPRODUCT(($C$55:$C$67)*($D$55:$D$67&gt;=$A150))</f>
        <v>0</v>
      </c>
      <c r="T150" s="150">
        <f>IF(C150&gt;$C$10,0,IF(AND($C$38&gt;0,A150&gt;=$C$38,EOMONTH(A150,0)&lt;=$C$39),E150*(1-$C$40)*(1-G$15),E150*(1-G$15)))+M150</f>
        <v>0</v>
      </c>
      <c r="U150" s="150">
        <f>IF(C150&gt;$C$10,0,IF(AND($C$38&gt;0,A150&gt;=$C$38,EOMONTH(A150,0)&lt;=$C$39),E150*(1-$C$40)*(1-H$15),E150*(1-H$15)))+M150</f>
        <v>0</v>
      </c>
      <c r="V150" s="150">
        <f>IF(C150&gt;$C$10,0,IF(AND($C$38&gt;0,A150&gt;=$C$38,EOMONTH(A150,0)&lt;=$C$39),E150*(1-$C$40)*(1-I$15),E150*(1-I$15)))+M150</f>
        <v>0</v>
      </c>
      <c r="W150" s="181">
        <f>IF(C150&gt;$C$10,0,IF(AND($C$38&gt;0,A150&gt;=$C$38,EOMONTH(A150,0)&lt;=$C$39),E150*(1-$C$40)*(1-F$34),E150*(1-F$34)))+M150</f>
        <v>0</v>
      </c>
      <c r="X150" s="179">
        <f>IF(C150&gt;$C$10,0,IF(AND($C$38&gt;0,A150&gt;=$C$38,EOMONTH(A150,0)&lt;=$C$39),E150*(1-$C$40)*(1-G$34),E150*(1-G$34)))+M150</f>
        <v>0</v>
      </c>
      <c r="Y150" s="178">
        <f>IF(C150&gt;$C$10,0,IF(AND($C$38&gt;0,A150&gt;=$C$38,EOMONTH(A150,0)&lt;=$C$39),E150*(1-$C$40)*(1-H$34),E150*(1-H$34)))+M150</f>
        <v>0</v>
      </c>
      <c r="Z150" s="179">
        <f>IF(C150&gt;$C$10,0,IF(AND($C$38&gt;0,A150&gt;=$C$38,EOMONTH(A150,0)&lt;=$C$39),E150*(1-$C$40)*(1-I$34),E150*(1-I$34)))+M150</f>
        <v>0</v>
      </c>
      <c r="AA150" s="180">
        <f>IF(C150&gt;$C$10,0,IF(AND($C$38&gt;0,A150&gt;=$C$38,EOMONTH(A150,0)&lt;=$C$39),E150*(1-$C$40)*(1-J$34),E150*(1-J$34)))+M150</f>
        <v>0</v>
      </c>
    </row>
    <row r="151" spans="1:27" x14ac:dyDescent="0.25">
      <c r="A151" s="98">
        <f>EDATE($C$8,76)</f>
        <v>2312</v>
      </c>
      <c r="B151" s="99">
        <f>EDATE($C$8,77)-1</f>
        <v>2342</v>
      </c>
      <c r="C151" s="92">
        <f t="shared" si="23"/>
        <v>77</v>
      </c>
      <c r="D151" s="100">
        <f t="shared" si="13"/>
        <v>7</v>
      </c>
      <c r="E151" s="101">
        <f t="shared" si="14"/>
        <v>0</v>
      </c>
      <c r="F151" s="94">
        <f t="shared" si="24"/>
        <v>0</v>
      </c>
      <c r="G151" s="95">
        <f t="shared" si="25"/>
        <v>0</v>
      </c>
      <c r="H151" s="94">
        <f t="shared" si="15"/>
        <v>0</v>
      </c>
      <c r="I151" s="94">
        <f t="shared" si="16"/>
        <v>0</v>
      </c>
      <c r="J151" s="94">
        <f t="shared" si="17"/>
        <v>0</v>
      </c>
      <c r="K151" s="94">
        <f t="shared" si="18"/>
        <v>0</v>
      </c>
      <c r="L151" s="94">
        <f t="shared" si="19"/>
        <v>0</v>
      </c>
      <c r="M151" s="94">
        <f t="shared" si="20"/>
        <v>0</v>
      </c>
      <c r="N151" s="101">
        <f t="shared" si="21"/>
        <v>0</v>
      </c>
      <c r="O151" s="102">
        <f t="shared" si="22"/>
        <v>0</v>
      </c>
      <c r="P151" s="101">
        <f>MAX(SUM(N151:N198)+S151,0)</f>
        <v>0</v>
      </c>
      <c r="Q151" s="101">
        <f>SUM(F151:F198)</f>
        <v>0</v>
      </c>
      <c r="R151" s="101">
        <f>SUM(M151:M198)</f>
        <v>0</v>
      </c>
      <c r="S151" s="103">
        <f>SUMPRODUCT(($C$55:$C$67)*($D$55:$D$67&gt;=$A151))</f>
        <v>0</v>
      </c>
      <c r="T151" s="150">
        <f>IF(C151&gt;$C$10,0,IF(AND($C$38&gt;0,A151&gt;=$C$38,EOMONTH(A151,0)&lt;=$C$39),E151*(1-$C$40)*(1-G$15),E151*(1-G$15)))+M151</f>
        <v>0</v>
      </c>
      <c r="U151" s="150">
        <f>IF(C151&gt;$C$10,0,IF(AND($C$38&gt;0,A151&gt;=$C$38,EOMONTH(A151,0)&lt;=$C$39),E151*(1-$C$40)*(1-H$15),E151*(1-H$15)))+M151</f>
        <v>0</v>
      </c>
      <c r="V151" s="150">
        <f>IF(C151&gt;$C$10,0,IF(AND($C$38&gt;0,A151&gt;=$C$38,EOMONTH(A151,0)&lt;=$C$39),E151*(1-$C$40)*(1-I$15),E151*(1-I$15)))+M151</f>
        <v>0</v>
      </c>
      <c r="W151" s="181">
        <f>IF(C151&gt;$C$10,0,IF(AND($C$38&gt;0,A151&gt;=$C$38,EOMONTH(A151,0)&lt;=$C$39),E151*(1-$C$40)*(1-F$34),E151*(1-F$34)))+M151</f>
        <v>0</v>
      </c>
      <c r="X151" s="179">
        <f>IF(C151&gt;$C$10,0,IF(AND($C$38&gt;0,A151&gt;=$C$38,EOMONTH(A151,0)&lt;=$C$39),E151*(1-$C$40)*(1-G$34),E151*(1-G$34)))+M151</f>
        <v>0</v>
      </c>
      <c r="Y151" s="178">
        <f>IF(C151&gt;$C$10,0,IF(AND($C$38&gt;0,A151&gt;=$C$38,EOMONTH(A151,0)&lt;=$C$39),E151*(1-$C$40)*(1-H$34),E151*(1-H$34)))+M151</f>
        <v>0</v>
      </c>
      <c r="Z151" s="179">
        <f>IF(C151&gt;$C$10,0,IF(AND($C$38&gt;0,A151&gt;=$C$38,EOMONTH(A151,0)&lt;=$C$39),E151*(1-$C$40)*(1-I$34),E151*(1-I$34)))+M151</f>
        <v>0</v>
      </c>
      <c r="AA151" s="180">
        <f>IF(C151&gt;$C$10,0,IF(AND($C$38&gt;0,A151&gt;=$C$38,EOMONTH(A151,0)&lt;=$C$39),E151*(1-$C$40)*(1-J$34),E151*(1-J$34)))+M151</f>
        <v>0</v>
      </c>
    </row>
    <row r="152" spans="1:27" x14ac:dyDescent="0.25">
      <c r="A152" s="104">
        <f>EDATE($C$8,77)</f>
        <v>2343</v>
      </c>
      <c r="B152" s="105">
        <f>EDATE($C$8,78)-1</f>
        <v>2372</v>
      </c>
      <c r="C152" s="92">
        <f t="shared" si="23"/>
        <v>78</v>
      </c>
      <c r="D152" s="106">
        <f t="shared" si="13"/>
        <v>7</v>
      </c>
      <c r="E152" s="107">
        <f t="shared" si="14"/>
        <v>0</v>
      </c>
      <c r="F152" s="94">
        <f t="shared" si="24"/>
        <v>0</v>
      </c>
      <c r="G152" s="95">
        <f t="shared" si="25"/>
        <v>0</v>
      </c>
      <c r="H152" s="94">
        <f t="shared" si="15"/>
        <v>0</v>
      </c>
      <c r="I152" s="94">
        <f t="shared" si="16"/>
        <v>0</v>
      </c>
      <c r="J152" s="94">
        <f t="shared" si="17"/>
        <v>0</v>
      </c>
      <c r="K152" s="94">
        <f t="shared" si="18"/>
        <v>0</v>
      </c>
      <c r="L152" s="94">
        <f t="shared" si="19"/>
        <v>0</v>
      </c>
      <c r="M152" s="94">
        <f t="shared" si="20"/>
        <v>0</v>
      </c>
      <c r="N152" s="107">
        <f t="shared" si="21"/>
        <v>0</v>
      </c>
      <c r="O152" s="108">
        <f t="shared" si="22"/>
        <v>0</v>
      </c>
      <c r="P152" s="107">
        <f>MAX(SUM(N152:N198)+S152,0)</f>
        <v>0</v>
      </c>
      <c r="Q152" s="107">
        <f>SUM(F152:F198)</f>
        <v>0</v>
      </c>
      <c r="R152" s="107">
        <f>SUM(M152:M198)</f>
        <v>0</v>
      </c>
      <c r="S152" s="109">
        <f>SUMPRODUCT(($C$55:$C$67)*($D$55:$D$67&gt;=$A152))</f>
        <v>0</v>
      </c>
      <c r="T152" s="150">
        <f>IF(C152&gt;$C$10,0,IF(AND($C$38&gt;0,A152&gt;=$C$38,EOMONTH(A152,0)&lt;=$C$39),E152*(1-$C$40)*(1-G$15),E152*(1-G$15)))+M152</f>
        <v>0</v>
      </c>
      <c r="U152" s="150">
        <f>IF(C152&gt;$C$10,0,IF(AND($C$38&gt;0,A152&gt;=$C$38,EOMONTH(A152,0)&lt;=$C$39),E152*(1-$C$40)*(1-H$15),E152*(1-H$15)))+M152</f>
        <v>0</v>
      </c>
      <c r="V152" s="150">
        <f>IF(C152&gt;$C$10,0,IF(AND($C$38&gt;0,A152&gt;=$C$38,EOMONTH(A152,0)&lt;=$C$39),E152*(1-$C$40)*(1-I$15),E152*(1-I$15)))+M152</f>
        <v>0</v>
      </c>
      <c r="W152" s="181">
        <f>IF(C152&gt;$C$10,0,IF(AND($C$38&gt;0,A152&gt;=$C$38,EOMONTH(A152,0)&lt;=$C$39),E152*(1-$C$40)*(1-F$34),E152*(1-F$34)))+M152</f>
        <v>0</v>
      </c>
      <c r="X152" s="179">
        <f>IF(C152&gt;$C$10,0,IF(AND($C$38&gt;0,A152&gt;=$C$38,EOMONTH(A152,0)&lt;=$C$39),E152*(1-$C$40)*(1-G$34),E152*(1-G$34)))+M152</f>
        <v>0</v>
      </c>
      <c r="Y152" s="178">
        <f>IF(C152&gt;$C$10,0,IF(AND($C$38&gt;0,A152&gt;=$C$38,EOMONTH(A152,0)&lt;=$C$39),E152*(1-$C$40)*(1-H$34),E152*(1-H$34)))+M152</f>
        <v>0</v>
      </c>
      <c r="Z152" s="179">
        <f>IF(C152&gt;$C$10,0,IF(AND($C$38&gt;0,A152&gt;=$C$38,EOMONTH(A152,0)&lt;=$C$39),E152*(1-$C$40)*(1-I$34),E152*(1-I$34)))+M152</f>
        <v>0</v>
      </c>
      <c r="AA152" s="180">
        <f>IF(C152&gt;$C$10,0,IF(AND($C$38&gt;0,A152&gt;=$C$38,EOMONTH(A152,0)&lt;=$C$39),E152*(1-$C$40)*(1-J$34),E152*(1-J$34)))+M152</f>
        <v>0</v>
      </c>
    </row>
    <row r="153" spans="1:27" x14ac:dyDescent="0.25">
      <c r="A153" s="98">
        <f>EDATE($C$8,78)</f>
        <v>2373</v>
      </c>
      <c r="B153" s="99">
        <f>EDATE($C$8,79)-1</f>
        <v>2403</v>
      </c>
      <c r="C153" s="92">
        <f t="shared" si="23"/>
        <v>79</v>
      </c>
      <c r="D153" s="100">
        <f t="shared" si="13"/>
        <v>7</v>
      </c>
      <c r="E153" s="101">
        <f t="shared" si="14"/>
        <v>0</v>
      </c>
      <c r="F153" s="94">
        <f t="shared" si="24"/>
        <v>0</v>
      </c>
      <c r="G153" s="95">
        <f t="shared" si="25"/>
        <v>0</v>
      </c>
      <c r="H153" s="94">
        <f t="shared" si="15"/>
        <v>0</v>
      </c>
      <c r="I153" s="94">
        <f t="shared" si="16"/>
        <v>0</v>
      </c>
      <c r="J153" s="94">
        <f t="shared" si="17"/>
        <v>0</v>
      </c>
      <c r="K153" s="94">
        <f t="shared" si="18"/>
        <v>0</v>
      </c>
      <c r="L153" s="94">
        <f t="shared" si="19"/>
        <v>0</v>
      </c>
      <c r="M153" s="94">
        <f t="shared" si="20"/>
        <v>0</v>
      </c>
      <c r="N153" s="101">
        <f t="shared" si="21"/>
        <v>0</v>
      </c>
      <c r="O153" s="102">
        <f t="shared" si="22"/>
        <v>0</v>
      </c>
      <c r="P153" s="101">
        <f>MAX(SUM(N153:N198)+S153,0)</f>
        <v>0</v>
      </c>
      <c r="Q153" s="101">
        <f>SUM(F153:F198)</f>
        <v>0</v>
      </c>
      <c r="R153" s="101">
        <f>SUM(M153:M198)</f>
        <v>0</v>
      </c>
      <c r="S153" s="103">
        <f>SUMPRODUCT(($C$55:$C$67)*($D$55:$D$67&gt;=$A153))</f>
        <v>0</v>
      </c>
      <c r="T153" s="150">
        <f>IF(C153&gt;$C$10,0,IF(AND($C$38&gt;0,A153&gt;=$C$38,EOMONTH(A153,0)&lt;=$C$39),E153*(1-$C$40)*(1-G$15),E153*(1-G$15)))+M153</f>
        <v>0</v>
      </c>
      <c r="U153" s="150">
        <f>IF(C153&gt;$C$10,0,IF(AND($C$38&gt;0,A153&gt;=$C$38,EOMONTH(A153,0)&lt;=$C$39),E153*(1-$C$40)*(1-H$15),E153*(1-H$15)))+M153</f>
        <v>0</v>
      </c>
      <c r="V153" s="150">
        <f>IF(C153&gt;$C$10,0,IF(AND($C$38&gt;0,A153&gt;=$C$38,EOMONTH(A153,0)&lt;=$C$39),E153*(1-$C$40)*(1-I$15),E153*(1-I$15)))+M153</f>
        <v>0</v>
      </c>
      <c r="W153" s="181">
        <f>IF(C153&gt;$C$10,0,IF(AND($C$38&gt;0,A153&gt;=$C$38,EOMONTH(A153,0)&lt;=$C$39),E153*(1-$C$40)*(1-F$34),E153*(1-F$34)))+M153</f>
        <v>0</v>
      </c>
      <c r="X153" s="179">
        <f>IF(C153&gt;$C$10,0,IF(AND($C$38&gt;0,A153&gt;=$C$38,EOMONTH(A153,0)&lt;=$C$39),E153*(1-$C$40)*(1-G$34),E153*(1-G$34)))+M153</f>
        <v>0</v>
      </c>
      <c r="Y153" s="178">
        <f>IF(C153&gt;$C$10,0,IF(AND($C$38&gt;0,A153&gt;=$C$38,EOMONTH(A153,0)&lt;=$C$39),E153*(1-$C$40)*(1-H$34),E153*(1-H$34)))+M153</f>
        <v>0</v>
      </c>
      <c r="Z153" s="179">
        <f>IF(C153&gt;$C$10,0,IF(AND($C$38&gt;0,A153&gt;=$C$38,EOMONTH(A153,0)&lt;=$C$39),E153*(1-$C$40)*(1-I$34),E153*(1-I$34)))+M153</f>
        <v>0</v>
      </c>
      <c r="AA153" s="180">
        <f>IF(C153&gt;$C$10,0,IF(AND($C$38&gt;0,A153&gt;=$C$38,EOMONTH(A153,0)&lt;=$C$39),E153*(1-$C$40)*(1-J$34),E153*(1-J$34)))+M153</f>
        <v>0</v>
      </c>
    </row>
    <row r="154" spans="1:27" x14ac:dyDescent="0.25">
      <c r="A154" s="104">
        <f>EDATE($C$8,79)</f>
        <v>2404</v>
      </c>
      <c r="B154" s="105">
        <f>EDATE($C$8,80)-1</f>
        <v>2434</v>
      </c>
      <c r="C154" s="92">
        <f t="shared" si="23"/>
        <v>80</v>
      </c>
      <c r="D154" s="106">
        <f t="shared" si="13"/>
        <v>7</v>
      </c>
      <c r="E154" s="107">
        <f t="shared" si="14"/>
        <v>0</v>
      </c>
      <c r="F154" s="94">
        <f t="shared" si="24"/>
        <v>0</v>
      </c>
      <c r="G154" s="95">
        <f t="shared" si="25"/>
        <v>0</v>
      </c>
      <c r="H154" s="94">
        <f t="shared" si="15"/>
        <v>0</v>
      </c>
      <c r="I154" s="94">
        <f t="shared" si="16"/>
        <v>0</v>
      </c>
      <c r="J154" s="94">
        <f t="shared" si="17"/>
        <v>0</v>
      </c>
      <c r="K154" s="94">
        <f t="shared" si="18"/>
        <v>0</v>
      </c>
      <c r="L154" s="94">
        <f t="shared" si="19"/>
        <v>0</v>
      </c>
      <c r="M154" s="94">
        <f t="shared" si="20"/>
        <v>0</v>
      </c>
      <c r="N154" s="107">
        <f t="shared" si="21"/>
        <v>0</v>
      </c>
      <c r="O154" s="108">
        <f t="shared" si="22"/>
        <v>0</v>
      </c>
      <c r="P154" s="107">
        <f>MAX(SUM(N154:N198)+S154,0)</f>
        <v>0</v>
      </c>
      <c r="Q154" s="107">
        <f>SUM(F154:F198)</f>
        <v>0</v>
      </c>
      <c r="R154" s="107">
        <f>SUM(M154:M198)</f>
        <v>0</v>
      </c>
      <c r="S154" s="109">
        <f>SUMPRODUCT(($C$55:$C$67)*($D$55:$D$67&gt;=$A154))</f>
        <v>0</v>
      </c>
      <c r="T154" s="150">
        <f>IF(C154&gt;$C$10,0,IF(AND($C$38&gt;0,A154&gt;=$C$38,EOMONTH(A154,0)&lt;=$C$39),E154*(1-$C$40)*(1-G$15),E154*(1-G$15)))+M154</f>
        <v>0</v>
      </c>
      <c r="U154" s="150">
        <f>IF(C154&gt;$C$10,0,IF(AND($C$38&gt;0,A154&gt;=$C$38,EOMONTH(A154,0)&lt;=$C$39),E154*(1-$C$40)*(1-H$15),E154*(1-H$15)))+M154</f>
        <v>0</v>
      </c>
      <c r="V154" s="150">
        <f>IF(C154&gt;$C$10,0,IF(AND($C$38&gt;0,A154&gt;=$C$38,EOMONTH(A154,0)&lt;=$C$39),E154*(1-$C$40)*(1-I$15),E154*(1-I$15)))+M154</f>
        <v>0</v>
      </c>
      <c r="W154" s="181">
        <f>IF(C154&gt;$C$10,0,IF(AND($C$38&gt;0,A154&gt;=$C$38,EOMONTH(A154,0)&lt;=$C$39),E154*(1-$C$40)*(1-F$34),E154*(1-F$34)))+M154</f>
        <v>0</v>
      </c>
      <c r="X154" s="179">
        <f>IF(C154&gt;$C$10,0,IF(AND($C$38&gt;0,A154&gt;=$C$38,EOMONTH(A154,0)&lt;=$C$39),E154*(1-$C$40)*(1-G$34),E154*(1-G$34)))+M154</f>
        <v>0</v>
      </c>
      <c r="Y154" s="178">
        <f>IF(C154&gt;$C$10,0,IF(AND($C$38&gt;0,A154&gt;=$C$38,EOMONTH(A154,0)&lt;=$C$39),E154*(1-$C$40)*(1-H$34),E154*(1-H$34)))+M154</f>
        <v>0</v>
      </c>
      <c r="Z154" s="179">
        <f>IF(C154&gt;$C$10,0,IF(AND($C$38&gt;0,A154&gt;=$C$38,EOMONTH(A154,0)&lt;=$C$39),E154*(1-$C$40)*(1-I$34),E154*(1-I$34)))+M154</f>
        <v>0</v>
      </c>
      <c r="AA154" s="180">
        <f>IF(C154&gt;$C$10,0,IF(AND($C$38&gt;0,A154&gt;=$C$38,EOMONTH(A154,0)&lt;=$C$39),E154*(1-$C$40)*(1-J$34),E154*(1-J$34)))+M154</f>
        <v>0</v>
      </c>
    </row>
    <row r="155" spans="1:27" x14ac:dyDescent="0.25">
      <c r="A155" s="98">
        <f>EDATE($C$8,80)</f>
        <v>2435</v>
      </c>
      <c r="B155" s="99">
        <f>EDATE($C$8,81)-1</f>
        <v>2464</v>
      </c>
      <c r="C155" s="92">
        <f t="shared" si="23"/>
        <v>81</v>
      </c>
      <c r="D155" s="100">
        <f t="shared" si="13"/>
        <v>7</v>
      </c>
      <c r="E155" s="101">
        <f t="shared" si="14"/>
        <v>0</v>
      </c>
      <c r="F155" s="94">
        <f t="shared" si="24"/>
        <v>0</v>
      </c>
      <c r="G155" s="95">
        <f t="shared" si="25"/>
        <v>0</v>
      </c>
      <c r="H155" s="94">
        <f t="shared" si="15"/>
        <v>0</v>
      </c>
      <c r="I155" s="94">
        <f t="shared" si="16"/>
        <v>0</v>
      </c>
      <c r="J155" s="94">
        <f t="shared" si="17"/>
        <v>0</v>
      </c>
      <c r="K155" s="94">
        <f t="shared" si="18"/>
        <v>0</v>
      </c>
      <c r="L155" s="94">
        <f t="shared" si="19"/>
        <v>0</v>
      </c>
      <c r="M155" s="94">
        <f t="shared" si="20"/>
        <v>0</v>
      </c>
      <c r="N155" s="101">
        <f t="shared" si="21"/>
        <v>0</v>
      </c>
      <c r="O155" s="102">
        <f t="shared" si="22"/>
        <v>0</v>
      </c>
      <c r="P155" s="101">
        <f>MAX(SUM(N155:N198)+S155,0)</f>
        <v>0</v>
      </c>
      <c r="Q155" s="101">
        <f>SUM(F155:F198)</f>
        <v>0</v>
      </c>
      <c r="R155" s="101">
        <f>SUM(M155:M198)</f>
        <v>0</v>
      </c>
      <c r="S155" s="103">
        <f>SUMPRODUCT(($C$55:$C$67)*($D$55:$D$67&gt;=$A155))</f>
        <v>0</v>
      </c>
      <c r="T155" s="150">
        <f>IF(C155&gt;$C$10,0,IF(AND($C$38&gt;0,A155&gt;=$C$38,EOMONTH(A155,0)&lt;=$C$39),E155*(1-$C$40)*(1-G$15),E155*(1-G$15)))+M155</f>
        <v>0</v>
      </c>
      <c r="U155" s="150">
        <f>IF(C155&gt;$C$10,0,IF(AND($C$38&gt;0,A155&gt;=$C$38,EOMONTH(A155,0)&lt;=$C$39),E155*(1-$C$40)*(1-H$15),E155*(1-H$15)))+M155</f>
        <v>0</v>
      </c>
      <c r="V155" s="150">
        <f>IF(C155&gt;$C$10,0,IF(AND($C$38&gt;0,A155&gt;=$C$38,EOMONTH(A155,0)&lt;=$C$39),E155*(1-$C$40)*(1-I$15),E155*(1-I$15)))+M155</f>
        <v>0</v>
      </c>
      <c r="W155" s="181">
        <f>IF(C155&gt;$C$10,0,IF(AND($C$38&gt;0,A155&gt;=$C$38,EOMONTH(A155,0)&lt;=$C$39),E155*(1-$C$40)*(1-F$34),E155*(1-F$34)))+M155</f>
        <v>0</v>
      </c>
      <c r="X155" s="179">
        <f>IF(C155&gt;$C$10,0,IF(AND($C$38&gt;0,A155&gt;=$C$38,EOMONTH(A155,0)&lt;=$C$39),E155*(1-$C$40)*(1-G$34),E155*(1-G$34)))+M155</f>
        <v>0</v>
      </c>
      <c r="Y155" s="178">
        <f>IF(C155&gt;$C$10,0,IF(AND($C$38&gt;0,A155&gt;=$C$38,EOMONTH(A155,0)&lt;=$C$39),E155*(1-$C$40)*(1-H$34),E155*(1-H$34)))+M155</f>
        <v>0</v>
      </c>
      <c r="Z155" s="179">
        <f>IF(C155&gt;$C$10,0,IF(AND($C$38&gt;0,A155&gt;=$C$38,EOMONTH(A155,0)&lt;=$C$39),E155*(1-$C$40)*(1-I$34),E155*(1-I$34)))+M155</f>
        <v>0</v>
      </c>
      <c r="AA155" s="180">
        <f>IF(C155&gt;$C$10,0,IF(AND($C$38&gt;0,A155&gt;=$C$38,EOMONTH(A155,0)&lt;=$C$39),E155*(1-$C$40)*(1-J$34),E155*(1-J$34)))+M155</f>
        <v>0</v>
      </c>
    </row>
    <row r="156" spans="1:27" x14ac:dyDescent="0.25">
      <c r="A156" s="104">
        <f>EDATE($C$8,81)</f>
        <v>2465</v>
      </c>
      <c r="B156" s="105">
        <f>EDATE($C$8,82)-1</f>
        <v>2495</v>
      </c>
      <c r="C156" s="92">
        <f t="shared" si="23"/>
        <v>82</v>
      </c>
      <c r="D156" s="106">
        <f t="shared" si="13"/>
        <v>7</v>
      </c>
      <c r="E156" s="107">
        <f t="shared" si="14"/>
        <v>0</v>
      </c>
      <c r="F156" s="94">
        <f t="shared" si="24"/>
        <v>0</v>
      </c>
      <c r="G156" s="95">
        <f t="shared" si="25"/>
        <v>0</v>
      </c>
      <c r="H156" s="94">
        <f t="shared" si="15"/>
        <v>0</v>
      </c>
      <c r="I156" s="94">
        <f t="shared" si="16"/>
        <v>0</v>
      </c>
      <c r="J156" s="94">
        <f t="shared" si="17"/>
        <v>0</v>
      </c>
      <c r="K156" s="94">
        <f t="shared" si="18"/>
        <v>0</v>
      </c>
      <c r="L156" s="94">
        <f t="shared" si="19"/>
        <v>0</v>
      </c>
      <c r="M156" s="94">
        <f t="shared" si="20"/>
        <v>0</v>
      </c>
      <c r="N156" s="107">
        <f t="shared" si="21"/>
        <v>0</v>
      </c>
      <c r="O156" s="108">
        <f t="shared" si="22"/>
        <v>0</v>
      </c>
      <c r="P156" s="107">
        <f>MAX(SUM(N156:N198)+S156,0)</f>
        <v>0</v>
      </c>
      <c r="Q156" s="107">
        <f>SUM(F156:F198)</f>
        <v>0</v>
      </c>
      <c r="R156" s="107">
        <f>SUM(M156:M198)</f>
        <v>0</v>
      </c>
      <c r="S156" s="109">
        <f>SUMPRODUCT(($C$55:$C$67)*($D$55:$D$67&gt;=$A156))</f>
        <v>0</v>
      </c>
      <c r="T156" s="150">
        <f>IF(C156&gt;$C$10,0,IF(AND($C$38&gt;0,A156&gt;=$C$38,EOMONTH(A156,0)&lt;=$C$39),E156*(1-$C$40)*(1-G$15),E156*(1-G$15)))+M156</f>
        <v>0</v>
      </c>
      <c r="U156" s="150">
        <f>IF(C156&gt;$C$10,0,IF(AND($C$38&gt;0,A156&gt;=$C$38,EOMONTH(A156,0)&lt;=$C$39),E156*(1-$C$40)*(1-H$15),E156*(1-H$15)))+M156</f>
        <v>0</v>
      </c>
      <c r="V156" s="150">
        <f>IF(C156&gt;$C$10,0,IF(AND($C$38&gt;0,A156&gt;=$C$38,EOMONTH(A156,0)&lt;=$C$39),E156*(1-$C$40)*(1-I$15),E156*(1-I$15)))+M156</f>
        <v>0</v>
      </c>
      <c r="W156" s="181">
        <f>IF(C156&gt;$C$10,0,IF(AND($C$38&gt;0,A156&gt;=$C$38,EOMONTH(A156,0)&lt;=$C$39),E156*(1-$C$40)*(1-F$34),E156*(1-F$34)))+M156</f>
        <v>0</v>
      </c>
      <c r="X156" s="179">
        <f>IF(C156&gt;$C$10,0,IF(AND($C$38&gt;0,A156&gt;=$C$38,EOMONTH(A156,0)&lt;=$C$39),E156*(1-$C$40)*(1-G$34),E156*(1-G$34)))+M156</f>
        <v>0</v>
      </c>
      <c r="Y156" s="178">
        <f>IF(C156&gt;$C$10,0,IF(AND($C$38&gt;0,A156&gt;=$C$38,EOMONTH(A156,0)&lt;=$C$39),E156*(1-$C$40)*(1-H$34),E156*(1-H$34)))+M156</f>
        <v>0</v>
      </c>
      <c r="Z156" s="179">
        <f>IF(C156&gt;$C$10,0,IF(AND($C$38&gt;0,A156&gt;=$C$38,EOMONTH(A156,0)&lt;=$C$39),E156*(1-$C$40)*(1-I$34),E156*(1-I$34)))+M156</f>
        <v>0</v>
      </c>
      <c r="AA156" s="180">
        <f>IF(C156&gt;$C$10,0,IF(AND($C$38&gt;0,A156&gt;=$C$38,EOMONTH(A156,0)&lt;=$C$39),E156*(1-$C$40)*(1-J$34),E156*(1-J$34)))+M156</f>
        <v>0</v>
      </c>
    </row>
    <row r="157" spans="1:27" x14ac:dyDescent="0.25">
      <c r="A157" s="98">
        <f>EDATE($C$8,82)</f>
        <v>2496</v>
      </c>
      <c r="B157" s="99">
        <f>EDATE($C$8,83)-1</f>
        <v>2525</v>
      </c>
      <c r="C157" s="92">
        <f t="shared" si="23"/>
        <v>83</v>
      </c>
      <c r="D157" s="100">
        <f t="shared" si="13"/>
        <v>7</v>
      </c>
      <c r="E157" s="101">
        <f t="shared" si="14"/>
        <v>0</v>
      </c>
      <c r="F157" s="94">
        <f t="shared" si="24"/>
        <v>0</v>
      </c>
      <c r="G157" s="95">
        <f t="shared" si="25"/>
        <v>0</v>
      </c>
      <c r="H157" s="94">
        <f t="shared" si="15"/>
        <v>0</v>
      </c>
      <c r="I157" s="94">
        <f t="shared" si="16"/>
        <v>0</v>
      </c>
      <c r="J157" s="94">
        <f t="shared" si="17"/>
        <v>0</v>
      </c>
      <c r="K157" s="94">
        <f t="shared" si="18"/>
        <v>0</v>
      </c>
      <c r="L157" s="94">
        <f t="shared" si="19"/>
        <v>0</v>
      </c>
      <c r="M157" s="94">
        <f t="shared" si="20"/>
        <v>0</v>
      </c>
      <c r="N157" s="101">
        <f t="shared" si="21"/>
        <v>0</v>
      </c>
      <c r="O157" s="102">
        <f t="shared" si="22"/>
        <v>0</v>
      </c>
      <c r="P157" s="101">
        <f>MAX(SUM(N157:N198)+S157,0)</f>
        <v>0</v>
      </c>
      <c r="Q157" s="101">
        <f>SUM(F157:F198)</f>
        <v>0</v>
      </c>
      <c r="R157" s="101">
        <f>SUM(M157:M198)</f>
        <v>0</v>
      </c>
      <c r="S157" s="103">
        <f>SUMPRODUCT(($C$55:$C$67)*($D$55:$D$67&gt;=$A157))</f>
        <v>0</v>
      </c>
      <c r="T157" s="150">
        <f>IF(C157&gt;$C$10,0,IF(AND($C$38&gt;0,A157&gt;=$C$38,EOMONTH(A157,0)&lt;=$C$39),E157*(1-$C$40)*(1-G$15),E157*(1-G$15)))+M157</f>
        <v>0</v>
      </c>
      <c r="U157" s="150">
        <f>IF(C157&gt;$C$10,0,IF(AND($C$38&gt;0,A157&gt;=$C$38,EOMONTH(A157,0)&lt;=$C$39),E157*(1-$C$40)*(1-H$15),E157*(1-H$15)))+M157</f>
        <v>0</v>
      </c>
      <c r="V157" s="150">
        <f>IF(C157&gt;$C$10,0,IF(AND($C$38&gt;0,A157&gt;=$C$38,EOMONTH(A157,0)&lt;=$C$39),E157*(1-$C$40)*(1-I$15),E157*(1-I$15)))+M157</f>
        <v>0</v>
      </c>
      <c r="W157" s="181">
        <f>IF(C157&gt;$C$10,0,IF(AND($C$38&gt;0,A157&gt;=$C$38,EOMONTH(A157,0)&lt;=$C$39),E157*(1-$C$40)*(1-F$34),E157*(1-F$34)))+M157</f>
        <v>0</v>
      </c>
      <c r="X157" s="179">
        <f>IF(C157&gt;$C$10,0,IF(AND($C$38&gt;0,A157&gt;=$C$38,EOMONTH(A157,0)&lt;=$C$39),E157*(1-$C$40)*(1-G$34),E157*(1-G$34)))+M157</f>
        <v>0</v>
      </c>
      <c r="Y157" s="178">
        <f>IF(C157&gt;$C$10,0,IF(AND($C$38&gt;0,A157&gt;=$C$38,EOMONTH(A157,0)&lt;=$C$39),E157*(1-$C$40)*(1-H$34),E157*(1-H$34)))+M157</f>
        <v>0</v>
      </c>
      <c r="Z157" s="179">
        <f>IF(C157&gt;$C$10,0,IF(AND($C$38&gt;0,A157&gt;=$C$38,EOMONTH(A157,0)&lt;=$C$39),E157*(1-$C$40)*(1-I$34),E157*(1-I$34)))+M157</f>
        <v>0</v>
      </c>
      <c r="AA157" s="180">
        <f>IF(C157&gt;$C$10,0,IF(AND($C$38&gt;0,A157&gt;=$C$38,EOMONTH(A157,0)&lt;=$C$39),E157*(1-$C$40)*(1-J$34),E157*(1-J$34)))+M157</f>
        <v>0</v>
      </c>
    </row>
    <row r="158" spans="1:27" x14ac:dyDescent="0.25">
      <c r="A158" s="104">
        <f>EDATE($C$8,83)</f>
        <v>2526</v>
      </c>
      <c r="B158" s="105">
        <f>EDATE($C$8,84)-1</f>
        <v>2556</v>
      </c>
      <c r="C158" s="92">
        <f t="shared" si="23"/>
        <v>84</v>
      </c>
      <c r="D158" s="106">
        <f t="shared" si="13"/>
        <v>7</v>
      </c>
      <c r="E158" s="107">
        <f t="shared" si="14"/>
        <v>0</v>
      </c>
      <c r="F158" s="94">
        <f t="shared" si="24"/>
        <v>0</v>
      </c>
      <c r="G158" s="95">
        <f t="shared" si="25"/>
        <v>0</v>
      </c>
      <c r="H158" s="94">
        <f t="shared" si="15"/>
        <v>0</v>
      </c>
      <c r="I158" s="94">
        <f t="shared" si="16"/>
        <v>0</v>
      </c>
      <c r="J158" s="94">
        <f t="shared" si="17"/>
        <v>0</v>
      </c>
      <c r="K158" s="94">
        <f t="shared" si="18"/>
        <v>0</v>
      </c>
      <c r="L158" s="94">
        <f t="shared" si="19"/>
        <v>0</v>
      </c>
      <c r="M158" s="94">
        <f t="shared" si="20"/>
        <v>0</v>
      </c>
      <c r="N158" s="107">
        <f t="shared" si="21"/>
        <v>0</v>
      </c>
      <c r="O158" s="108">
        <f t="shared" si="22"/>
        <v>0</v>
      </c>
      <c r="P158" s="107">
        <f>MAX(SUM(N158:N198)+S158,0)</f>
        <v>0</v>
      </c>
      <c r="Q158" s="107">
        <f>SUM(F158:F198)</f>
        <v>0</v>
      </c>
      <c r="R158" s="107">
        <f>SUM(M158:M198)</f>
        <v>0</v>
      </c>
      <c r="S158" s="109">
        <f>SUMPRODUCT(($C$55:$C$67)*($D$55:$D$67&gt;=$A158))</f>
        <v>0</v>
      </c>
      <c r="T158" s="150">
        <f>IF(C158&gt;$C$10,0,IF(AND($C$38&gt;0,A158&gt;=$C$38,EOMONTH(A158,0)&lt;=$C$39),E158*(1-$C$40)*(1-G$15),E158*(1-G$15)))+M158</f>
        <v>0</v>
      </c>
      <c r="U158" s="150">
        <f>IF(C158&gt;$C$10,0,IF(AND($C$38&gt;0,A158&gt;=$C$38,EOMONTH(A158,0)&lt;=$C$39),E158*(1-$C$40)*(1-H$15),E158*(1-H$15)))+M158</f>
        <v>0</v>
      </c>
      <c r="V158" s="150">
        <f>IF(C158&gt;$C$10,0,IF(AND($C$38&gt;0,A158&gt;=$C$38,EOMONTH(A158,0)&lt;=$C$39),E158*(1-$C$40)*(1-I$15),E158*(1-I$15)))+M158</f>
        <v>0</v>
      </c>
      <c r="W158" s="181">
        <f>IF(C158&gt;$C$10,0,IF(AND($C$38&gt;0,A158&gt;=$C$38,EOMONTH(A158,0)&lt;=$C$39),E158*(1-$C$40)*(1-F$34),E158*(1-F$34)))+M158</f>
        <v>0</v>
      </c>
      <c r="X158" s="179">
        <f>IF(C158&gt;$C$10,0,IF(AND($C$38&gt;0,A158&gt;=$C$38,EOMONTH(A158,0)&lt;=$C$39),E158*(1-$C$40)*(1-G$34),E158*(1-G$34)))+M158</f>
        <v>0</v>
      </c>
      <c r="Y158" s="178">
        <f>IF(C158&gt;$C$10,0,IF(AND($C$38&gt;0,A158&gt;=$C$38,EOMONTH(A158,0)&lt;=$C$39),E158*(1-$C$40)*(1-H$34),E158*(1-H$34)))+M158</f>
        <v>0</v>
      </c>
      <c r="Z158" s="179">
        <f>IF(C158&gt;$C$10,0,IF(AND($C$38&gt;0,A158&gt;=$C$38,EOMONTH(A158,0)&lt;=$C$39),E158*(1-$C$40)*(1-I$34),E158*(1-I$34)))+M158</f>
        <v>0</v>
      </c>
      <c r="AA158" s="180">
        <f>IF(C158&gt;$C$10,0,IF(AND($C$38&gt;0,A158&gt;=$C$38,EOMONTH(A158,0)&lt;=$C$39),E158*(1-$C$40)*(1-J$34),E158*(1-J$34)))+M158</f>
        <v>0</v>
      </c>
    </row>
    <row r="159" spans="1:27" x14ac:dyDescent="0.25">
      <c r="A159" s="98">
        <f>EDATE($C$8,84)</f>
        <v>2557</v>
      </c>
      <c r="B159" s="99">
        <f>EDATE($C$8,85)-1</f>
        <v>2587</v>
      </c>
      <c r="C159" s="92">
        <f t="shared" si="23"/>
        <v>85</v>
      </c>
      <c r="D159" s="100">
        <f t="shared" si="13"/>
        <v>8</v>
      </c>
      <c r="E159" s="101">
        <f t="shared" si="14"/>
        <v>0</v>
      </c>
      <c r="F159" s="94">
        <f t="shared" si="24"/>
        <v>0</v>
      </c>
      <c r="G159" s="95">
        <f t="shared" si="25"/>
        <v>0</v>
      </c>
      <c r="H159" s="94">
        <f t="shared" si="15"/>
        <v>0</v>
      </c>
      <c r="I159" s="94">
        <f t="shared" si="16"/>
        <v>0</v>
      </c>
      <c r="J159" s="94">
        <f t="shared" si="17"/>
        <v>0</v>
      </c>
      <c r="K159" s="94">
        <f t="shared" si="18"/>
        <v>0</v>
      </c>
      <c r="L159" s="94">
        <f t="shared" si="19"/>
        <v>0</v>
      </c>
      <c r="M159" s="94">
        <f t="shared" si="20"/>
        <v>0</v>
      </c>
      <c r="N159" s="101">
        <f t="shared" si="21"/>
        <v>0</v>
      </c>
      <c r="O159" s="102">
        <f t="shared" si="22"/>
        <v>0</v>
      </c>
      <c r="P159" s="101">
        <f>MAX(SUM(N159:N198)+S159,0)</f>
        <v>0</v>
      </c>
      <c r="Q159" s="101">
        <f>SUM(F159:F198)</f>
        <v>0</v>
      </c>
      <c r="R159" s="101">
        <f>SUM(M159:M198)</f>
        <v>0</v>
      </c>
      <c r="S159" s="103">
        <f>SUMPRODUCT(($C$55:$C$67)*($D$55:$D$67&gt;=$A159))</f>
        <v>0</v>
      </c>
      <c r="T159" s="150">
        <f>IF(C159&gt;$C$10,0,IF(AND($C$38&gt;0,A159&gt;=$C$38,EOMONTH(A159,0)&lt;=$C$39),E159*(1-$C$40)*(1-G$15),E159*(1-G$15)))+M159</f>
        <v>0</v>
      </c>
      <c r="U159" s="150">
        <f>IF(C159&gt;$C$10,0,IF(AND($C$38&gt;0,A159&gt;=$C$38,EOMONTH(A159,0)&lt;=$C$39),E159*(1-$C$40)*(1-H$15),E159*(1-H$15)))+M159</f>
        <v>0</v>
      </c>
      <c r="V159" s="150">
        <f>IF(C159&gt;$C$10,0,IF(AND($C$38&gt;0,A159&gt;=$C$38,EOMONTH(A159,0)&lt;=$C$39),E159*(1-$C$40)*(1-I$15),E159*(1-I$15)))+M159</f>
        <v>0</v>
      </c>
      <c r="W159" s="181">
        <f>IF(C159&gt;$C$10,0,IF(AND($C$38&gt;0,A159&gt;=$C$38,EOMONTH(A159,0)&lt;=$C$39),E159*(1-$C$40)*(1-F$34),E159*(1-F$34)))+M159</f>
        <v>0</v>
      </c>
      <c r="X159" s="179">
        <f>IF(C159&gt;$C$10,0,IF(AND($C$38&gt;0,A159&gt;=$C$38,EOMONTH(A159,0)&lt;=$C$39),E159*(1-$C$40)*(1-G$34),E159*(1-G$34)))+M159</f>
        <v>0</v>
      </c>
      <c r="Y159" s="178">
        <f>IF(C159&gt;$C$10,0,IF(AND($C$38&gt;0,A159&gt;=$C$38,EOMONTH(A159,0)&lt;=$C$39),E159*(1-$C$40)*(1-H$34),E159*(1-H$34)))+M159</f>
        <v>0</v>
      </c>
      <c r="Z159" s="179">
        <f>IF(C159&gt;$C$10,0,IF(AND($C$38&gt;0,A159&gt;=$C$38,EOMONTH(A159,0)&lt;=$C$39),E159*(1-$C$40)*(1-I$34),E159*(1-I$34)))+M159</f>
        <v>0</v>
      </c>
      <c r="AA159" s="180">
        <f>IF(C159&gt;$C$10,0,IF(AND($C$38&gt;0,A159&gt;=$C$38,EOMONTH(A159,0)&lt;=$C$39),E159*(1-$C$40)*(1-J$34),E159*(1-J$34)))+M159</f>
        <v>0</v>
      </c>
    </row>
    <row r="160" spans="1:27" x14ac:dyDescent="0.25">
      <c r="A160" s="104">
        <f>EDATE($C$8,85)</f>
        <v>2588</v>
      </c>
      <c r="B160" s="105">
        <f>EDATE($C$8,86)-1</f>
        <v>2615</v>
      </c>
      <c r="C160" s="92">
        <f t="shared" si="23"/>
        <v>86</v>
      </c>
      <c r="D160" s="106">
        <f t="shared" si="13"/>
        <v>8</v>
      </c>
      <c r="E160" s="107">
        <f t="shared" si="14"/>
        <v>0</v>
      </c>
      <c r="F160" s="94">
        <f t="shared" si="24"/>
        <v>0</v>
      </c>
      <c r="G160" s="95">
        <f t="shared" si="25"/>
        <v>0</v>
      </c>
      <c r="H160" s="94">
        <f t="shared" si="15"/>
        <v>0</v>
      </c>
      <c r="I160" s="94">
        <f t="shared" si="16"/>
        <v>0</v>
      </c>
      <c r="J160" s="94">
        <f t="shared" si="17"/>
        <v>0</v>
      </c>
      <c r="K160" s="94">
        <f t="shared" si="18"/>
        <v>0</v>
      </c>
      <c r="L160" s="94">
        <f t="shared" si="19"/>
        <v>0</v>
      </c>
      <c r="M160" s="94">
        <f t="shared" si="20"/>
        <v>0</v>
      </c>
      <c r="N160" s="107">
        <f t="shared" si="21"/>
        <v>0</v>
      </c>
      <c r="O160" s="108">
        <f t="shared" si="22"/>
        <v>0</v>
      </c>
      <c r="P160" s="107">
        <f>MAX(SUM(N160:N198)+S160,0)</f>
        <v>0</v>
      </c>
      <c r="Q160" s="107">
        <f>SUM(F160:F198)</f>
        <v>0</v>
      </c>
      <c r="R160" s="107">
        <f>SUM(M160:M198)</f>
        <v>0</v>
      </c>
      <c r="S160" s="109">
        <f>SUMPRODUCT(($C$55:$C$67)*($D$55:$D$67&gt;=$A160))</f>
        <v>0</v>
      </c>
      <c r="T160" s="150">
        <f>IF(C160&gt;$C$10,0,IF(AND($C$38&gt;0,A160&gt;=$C$38,EOMONTH(A160,0)&lt;=$C$39),E160*(1-$C$40)*(1-G$15),E160*(1-G$15)))+M160</f>
        <v>0</v>
      </c>
      <c r="U160" s="150">
        <f>IF(C160&gt;$C$10,0,IF(AND($C$38&gt;0,A160&gt;=$C$38,EOMONTH(A160,0)&lt;=$C$39),E160*(1-$C$40)*(1-H$15),E160*(1-H$15)))+M160</f>
        <v>0</v>
      </c>
      <c r="V160" s="150">
        <f>IF(C160&gt;$C$10,0,IF(AND($C$38&gt;0,A160&gt;=$C$38,EOMONTH(A160,0)&lt;=$C$39),E160*(1-$C$40)*(1-I$15),E160*(1-I$15)))+M160</f>
        <v>0</v>
      </c>
      <c r="W160" s="181">
        <f>IF(C160&gt;$C$10,0,IF(AND($C$38&gt;0,A160&gt;=$C$38,EOMONTH(A160,0)&lt;=$C$39),E160*(1-$C$40)*(1-F$34),E160*(1-F$34)))+M160</f>
        <v>0</v>
      </c>
      <c r="X160" s="179">
        <f>IF(C160&gt;$C$10,0,IF(AND($C$38&gt;0,A160&gt;=$C$38,EOMONTH(A160,0)&lt;=$C$39),E160*(1-$C$40)*(1-G$34),E160*(1-G$34)))+M160</f>
        <v>0</v>
      </c>
      <c r="Y160" s="178">
        <f>IF(C160&gt;$C$10,0,IF(AND($C$38&gt;0,A160&gt;=$C$38,EOMONTH(A160,0)&lt;=$C$39),E160*(1-$C$40)*(1-H$34),E160*(1-H$34)))+M160</f>
        <v>0</v>
      </c>
      <c r="Z160" s="179">
        <f>IF(C160&gt;$C$10,0,IF(AND($C$38&gt;0,A160&gt;=$C$38,EOMONTH(A160,0)&lt;=$C$39),E160*(1-$C$40)*(1-I$34),E160*(1-I$34)))+M160</f>
        <v>0</v>
      </c>
      <c r="AA160" s="180">
        <f>IF(C160&gt;$C$10,0,IF(AND($C$38&gt;0,A160&gt;=$C$38,EOMONTH(A160,0)&lt;=$C$39),E160*(1-$C$40)*(1-J$34),E160*(1-J$34)))+M160</f>
        <v>0</v>
      </c>
    </row>
    <row r="161" spans="1:27" x14ac:dyDescent="0.25">
      <c r="A161" s="98">
        <f>EDATE($C$8,86)</f>
        <v>2616</v>
      </c>
      <c r="B161" s="99">
        <f>EDATE($C$8,87)-1</f>
        <v>2646</v>
      </c>
      <c r="C161" s="92">
        <f t="shared" si="23"/>
        <v>87</v>
      </c>
      <c r="D161" s="100">
        <f t="shared" si="13"/>
        <v>8</v>
      </c>
      <c r="E161" s="101">
        <f t="shared" si="14"/>
        <v>0</v>
      </c>
      <c r="F161" s="94">
        <f t="shared" si="24"/>
        <v>0</v>
      </c>
      <c r="G161" s="95">
        <f t="shared" si="25"/>
        <v>0</v>
      </c>
      <c r="H161" s="94">
        <f t="shared" si="15"/>
        <v>0</v>
      </c>
      <c r="I161" s="94">
        <f t="shared" si="16"/>
        <v>0</v>
      </c>
      <c r="J161" s="94">
        <f t="shared" si="17"/>
        <v>0</v>
      </c>
      <c r="K161" s="94">
        <f t="shared" si="18"/>
        <v>0</v>
      </c>
      <c r="L161" s="94">
        <f t="shared" si="19"/>
        <v>0</v>
      </c>
      <c r="M161" s="94">
        <f t="shared" si="20"/>
        <v>0</v>
      </c>
      <c r="N161" s="101">
        <f t="shared" si="21"/>
        <v>0</v>
      </c>
      <c r="O161" s="102">
        <f t="shared" si="22"/>
        <v>0</v>
      </c>
      <c r="P161" s="101">
        <f>MAX(SUM(N161:N198)+S161,0)</f>
        <v>0</v>
      </c>
      <c r="Q161" s="101">
        <f>SUM(F161:F198)</f>
        <v>0</v>
      </c>
      <c r="R161" s="101">
        <f>SUM(M161:M198)</f>
        <v>0</v>
      </c>
      <c r="S161" s="103">
        <f>SUMPRODUCT(($C$55:$C$67)*($D$55:$D$67&gt;=$A161))</f>
        <v>0</v>
      </c>
      <c r="T161" s="150">
        <f>IF(C161&gt;$C$10,0,IF(AND($C$38&gt;0,A161&gt;=$C$38,EOMONTH(A161,0)&lt;=$C$39),E161*(1-$C$40)*(1-G$15),E161*(1-G$15)))+M161</f>
        <v>0</v>
      </c>
      <c r="U161" s="150">
        <f>IF(C161&gt;$C$10,0,IF(AND($C$38&gt;0,A161&gt;=$C$38,EOMONTH(A161,0)&lt;=$C$39),E161*(1-$C$40)*(1-H$15),E161*(1-H$15)))+M161</f>
        <v>0</v>
      </c>
      <c r="V161" s="150">
        <f>IF(C161&gt;$C$10,0,IF(AND($C$38&gt;0,A161&gt;=$C$38,EOMONTH(A161,0)&lt;=$C$39),E161*(1-$C$40)*(1-I$15),E161*(1-I$15)))+M161</f>
        <v>0</v>
      </c>
      <c r="W161" s="181">
        <f>IF(C161&gt;$C$10,0,IF(AND($C$38&gt;0,A161&gt;=$C$38,EOMONTH(A161,0)&lt;=$C$39),E161*(1-$C$40)*(1-F$34),E161*(1-F$34)))+M161</f>
        <v>0</v>
      </c>
      <c r="X161" s="179">
        <f>IF(C161&gt;$C$10,0,IF(AND($C$38&gt;0,A161&gt;=$C$38,EOMONTH(A161,0)&lt;=$C$39),E161*(1-$C$40)*(1-G$34),E161*(1-G$34)))+M161</f>
        <v>0</v>
      </c>
      <c r="Y161" s="178">
        <f>IF(C161&gt;$C$10,0,IF(AND($C$38&gt;0,A161&gt;=$C$38,EOMONTH(A161,0)&lt;=$C$39),E161*(1-$C$40)*(1-H$34),E161*(1-H$34)))+M161</f>
        <v>0</v>
      </c>
      <c r="Z161" s="179">
        <f>IF(C161&gt;$C$10,0,IF(AND($C$38&gt;0,A161&gt;=$C$38,EOMONTH(A161,0)&lt;=$C$39),E161*(1-$C$40)*(1-I$34),E161*(1-I$34)))+M161</f>
        <v>0</v>
      </c>
      <c r="AA161" s="180">
        <f>IF(C161&gt;$C$10,0,IF(AND($C$38&gt;0,A161&gt;=$C$38,EOMONTH(A161,0)&lt;=$C$39),E161*(1-$C$40)*(1-J$34),E161*(1-J$34)))+M161</f>
        <v>0</v>
      </c>
    </row>
    <row r="162" spans="1:27" x14ac:dyDescent="0.25">
      <c r="A162" s="104">
        <f>EDATE($C$8,87)</f>
        <v>2647</v>
      </c>
      <c r="B162" s="105">
        <f>EDATE($C$8,88)-1</f>
        <v>2676</v>
      </c>
      <c r="C162" s="92">
        <f t="shared" si="23"/>
        <v>88</v>
      </c>
      <c r="D162" s="106">
        <f t="shared" si="13"/>
        <v>8</v>
      </c>
      <c r="E162" s="107">
        <f t="shared" si="14"/>
        <v>0</v>
      </c>
      <c r="F162" s="94">
        <f t="shared" si="24"/>
        <v>0</v>
      </c>
      <c r="G162" s="95">
        <f t="shared" si="25"/>
        <v>0</v>
      </c>
      <c r="H162" s="94">
        <f t="shared" si="15"/>
        <v>0</v>
      </c>
      <c r="I162" s="94">
        <f t="shared" si="16"/>
        <v>0</v>
      </c>
      <c r="J162" s="94">
        <f t="shared" si="17"/>
        <v>0</v>
      </c>
      <c r="K162" s="94">
        <f t="shared" si="18"/>
        <v>0</v>
      </c>
      <c r="L162" s="94">
        <f t="shared" si="19"/>
        <v>0</v>
      </c>
      <c r="M162" s="94">
        <f t="shared" si="20"/>
        <v>0</v>
      </c>
      <c r="N162" s="107">
        <f t="shared" si="21"/>
        <v>0</v>
      </c>
      <c r="O162" s="108">
        <f t="shared" si="22"/>
        <v>0</v>
      </c>
      <c r="P162" s="107">
        <f>MAX(SUM(N162:N198)+S162,0)</f>
        <v>0</v>
      </c>
      <c r="Q162" s="107">
        <f>SUM(F162:F198)</f>
        <v>0</v>
      </c>
      <c r="R162" s="107">
        <f>SUM(M162:M198)</f>
        <v>0</v>
      </c>
      <c r="S162" s="109">
        <f>SUMPRODUCT(($C$55:$C$67)*($D$55:$D$67&gt;=$A162))</f>
        <v>0</v>
      </c>
      <c r="T162" s="150">
        <f>IF(C162&gt;$C$10,0,IF(AND($C$38&gt;0,A162&gt;=$C$38,EOMONTH(A162,0)&lt;=$C$39),E162*(1-$C$40)*(1-G$15),E162*(1-G$15)))+M162</f>
        <v>0</v>
      </c>
      <c r="U162" s="150">
        <f>IF(C162&gt;$C$10,0,IF(AND($C$38&gt;0,A162&gt;=$C$38,EOMONTH(A162,0)&lt;=$C$39),E162*(1-$C$40)*(1-H$15),E162*(1-H$15)))+M162</f>
        <v>0</v>
      </c>
      <c r="V162" s="150">
        <f>IF(C162&gt;$C$10,0,IF(AND($C$38&gt;0,A162&gt;=$C$38,EOMONTH(A162,0)&lt;=$C$39),E162*(1-$C$40)*(1-I$15),E162*(1-I$15)))+M162</f>
        <v>0</v>
      </c>
      <c r="W162" s="181">
        <f>IF(C162&gt;$C$10,0,IF(AND($C$38&gt;0,A162&gt;=$C$38,EOMONTH(A162,0)&lt;=$C$39),E162*(1-$C$40)*(1-F$34),E162*(1-F$34)))+M162</f>
        <v>0</v>
      </c>
      <c r="X162" s="179">
        <f>IF(C162&gt;$C$10,0,IF(AND($C$38&gt;0,A162&gt;=$C$38,EOMONTH(A162,0)&lt;=$C$39),E162*(1-$C$40)*(1-G$34),E162*(1-G$34)))+M162</f>
        <v>0</v>
      </c>
      <c r="Y162" s="178">
        <f>IF(C162&gt;$C$10,0,IF(AND($C$38&gt;0,A162&gt;=$C$38,EOMONTH(A162,0)&lt;=$C$39),E162*(1-$C$40)*(1-H$34),E162*(1-H$34)))+M162</f>
        <v>0</v>
      </c>
      <c r="Z162" s="179">
        <f>IF(C162&gt;$C$10,0,IF(AND($C$38&gt;0,A162&gt;=$C$38,EOMONTH(A162,0)&lt;=$C$39),E162*(1-$C$40)*(1-I$34),E162*(1-I$34)))+M162</f>
        <v>0</v>
      </c>
      <c r="AA162" s="180">
        <f>IF(C162&gt;$C$10,0,IF(AND($C$38&gt;0,A162&gt;=$C$38,EOMONTH(A162,0)&lt;=$C$39),E162*(1-$C$40)*(1-J$34),E162*(1-J$34)))+M162</f>
        <v>0</v>
      </c>
    </row>
    <row r="163" spans="1:27" x14ac:dyDescent="0.25">
      <c r="A163" s="98">
        <f>EDATE($C$8,88)</f>
        <v>2677</v>
      </c>
      <c r="B163" s="99">
        <f>EDATE($C$8,89)-1</f>
        <v>2707</v>
      </c>
      <c r="C163" s="92">
        <f t="shared" si="23"/>
        <v>89</v>
      </c>
      <c r="D163" s="100">
        <f t="shared" si="13"/>
        <v>8</v>
      </c>
      <c r="E163" s="101">
        <f t="shared" si="14"/>
        <v>0</v>
      </c>
      <c r="F163" s="94">
        <f t="shared" si="24"/>
        <v>0</v>
      </c>
      <c r="G163" s="95">
        <f t="shared" si="25"/>
        <v>0</v>
      </c>
      <c r="H163" s="94">
        <f t="shared" si="15"/>
        <v>0</v>
      </c>
      <c r="I163" s="94">
        <f t="shared" si="16"/>
        <v>0</v>
      </c>
      <c r="J163" s="94">
        <f t="shared" si="17"/>
        <v>0</v>
      </c>
      <c r="K163" s="94">
        <f t="shared" si="18"/>
        <v>0</v>
      </c>
      <c r="L163" s="94">
        <f t="shared" si="19"/>
        <v>0</v>
      </c>
      <c r="M163" s="94">
        <f t="shared" si="20"/>
        <v>0</v>
      </c>
      <c r="N163" s="101">
        <f t="shared" si="21"/>
        <v>0</v>
      </c>
      <c r="O163" s="102">
        <f t="shared" si="22"/>
        <v>0</v>
      </c>
      <c r="P163" s="101">
        <f>MAX(SUM(N163:N198)+S163,0)</f>
        <v>0</v>
      </c>
      <c r="Q163" s="101">
        <f>SUM(F163:F198)</f>
        <v>0</v>
      </c>
      <c r="R163" s="101">
        <f>SUM(M163:M198)</f>
        <v>0</v>
      </c>
      <c r="S163" s="103">
        <f>SUMPRODUCT(($C$55:$C$67)*($D$55:$D$67&gt;=$A163))</f>
        <v>0</v>
      </c>
      <c r="T163" s="150">
        <f>IF(C163&gt;$C$10,0,IF(AND($C$38&gt;0,A163&gt;=$C$38,EOMONTH(A163,0)&lt;=$C$39),E163*(1-$C$40)*(1-G$15),E163*(1-G$15)))+M163</f>
        <v>0</v>
      </c>
      <c r="U163" s="150">
        <f>IF(C163&gt;$C$10,0,IF(AND($C$38&gt;0,A163&gt;=$C$38,EOMONTH(A163,0)&lt;=$C$39),E163*(1-$C$40)*(1-H$15),E163*(1-H$15)))+M163</f>
        <v>0</v>
      </c>
      <c r="V163" s="150">
        <f>IF(C163&gt;$C$10,0,IF(AND($C$38&gt;0,A163&gt;=$C$38,EOMONTH(A163,0)&lt;=$C$39),E163*(1-$C$40)*(1-I$15),E163*(1-I$15)))+M163</f>
        <v>0</v>
      </c>
      <c r="W163" s="181">
        <f>IF(C163&gt;$C$10,0,IF(AND($C$38&gt;0,A163&gt;=$C$38,EOMONTH(A163,0)&lt;=$C$39),E163*(1-$C$40)*(1-F$34),E163*(1-F$34)))+M163</f>
        <v>0</v>
      </c>
      <c r="X163" s="179">
        <f>IF(C163&gt;$C$10,0,IF(AND($C$38&gt;0,A163&gt;=$C$38,EOMONTH(A163,0)&lt;=$C$39),E163*(1-$C$40)*(1-G$34),E163*(1-G$34)))+M163</f>
        <v>0</v>
      </c>
      <c r="Y163" s="178">
        <f>IF(C163&gt;$C$10,0,IF(AND($C$38&gt;0,A163&gt;=$C$38,EOMONTH(A163,0)&lt;=$C$39),E163*(1-$C$40)*(1-H$34),E163*(1-H$34)))+M163</f>
        <v>0</v>
      </c>
      <c r="Z163" s="179">
        <f>IF(C163&gt;$C$10,0,IF(AND($C$38&gt;0,A163&gt;=$C$38,EOMONTH(A163,0)&lt;=$C$39),E163*(1-$C$40)*(1-I$34),E163*(1-I$34)))+M163</f>
        <v>0</v>
      </c>
      <c r="AA163" s="180">
        <f>IF(C163&gt;$C$10,0,IF(AND($C$38&gt;0,A163&gt;=$C$38,EOMONTH(A163,0)&lt;=$C$39),E163*(1-$C$40)*(1-J$34),E163*(1-J$34)))+M163</f>
        <v>0</v>
      </c>
    </row>
    <row r="164" spans="1:27" x14ac:dyDescent="0.25">
      <c r="A164" s="104">
        <f>EDATE($C$8,89)</f>
        <v>2708</v>
      </c>
      <c r="B164" s="105">
        <f>EDATE($C$8,90)-1</f>
        <v>2737</v>
      </c>
      <c r="C164" s="92">
        <f t="shared" si="23"/>
        <v>90</v>
      </c>
      <c r="D164" s="106">
        <f t="shared" si="13"/>
        <v>8</v>
      </c>
      <c r="E164" s="107">
        <f t="shared" si="14"/>
        <v>0</v>
      </c>
      <c r="F164" s="94">
        <f t="shared" si="24"/>
        <v>0</v>
      </c>
      <c r="G164" s="95">
        <f t="shared" si="25"/>
        <v>0</v>
      </c>
      <c r="H164" s="94">
        <f t="shared" si="15"/>
        <v>0</v>
      </c>
      <c r="I164" s="94">
        <f t="shared" si="16"/>
        <v>0</v>
      </c>
      <c r="J164" s="94">
        <f t="shared" si="17"/>
        <v>0</v>
      </c>
      <c r="K164" s="94">
        <f t="shared" si="18"/>
        <v>0</v>
      </c>
      <c r="L164" s="94">
        <f t="shared" si="19"/>
        <v>0</v>
      </c>
      <c r="M164" s="94">
        <f t="shared" si="20"/>
        <v>0</v>
      </c>
      <c r="N164" s="107">
        <f t="shared" si="21"/>
        <v>0</v>
      </c>
      <c r="O164" s="108">
        <f t="shared" si="22"/>
        <v>0</v>
      </c>
      <c r="P164" s="107">
        <f>MAX(SUM(N164:N198)+S164,0)</f>
        <v>0</v>
      </c>
      <c r="Q164" s="107">
        <f>SUM(F164:F198)</f>
        <v>0</v>
      </c>
      <c r="R164" s="107">
        <f>SUM(M164:M198)</f>
        <v>0</v>
      </c>
      <c r="S164" s="109">
        <f>SUMPRODUCT(($C$55:$C$67)*($D$55:$D$67&gt;=$A164))</f>
        <v>0</v>
      </c>
      <c r="T164" s="150">
        <f>IF(C164&gt;$C$10,0,IF(AND($C$38&gt;0,A164&gt;=$C$38,EOMONTH(A164,0)&lt;=$C$39),E164*(1-$C$40)*(1-G$15),E164*(1-G$15)))+M164</f>
        <v>0</v>
      </c>
      <c r="U164" s="150">
        <f>IF(C164&gt;$C$10,0,IF(AND($C$38&gt;0,A164&gt;=$C$38,EOMONTH(A164,0)&lt;=$C$39),E164*(1-$C$40)*(1-H$15),E164*(1-H$15)))+M164</f>
        <v>0</v>
      </c>
      <c r="V164" s="150">
        <f>IF(C164&gt;$C$10,0,IF(AND($C$38&gt;0,A164&gt;=$C$38,EOMONTH(A164,0)&lt;=$C$39),E164*(1-$C$40)*(1-I$15),E164*(1-I$15)))+M164</f>
        <v>0</v>
      </c>
      <c r="W164" s="181">
        <f>IF(C164&gt;$C$10,0,IF(AND($C$38&gt;0,A164&gt;=$C$38,EOMONTH(A164,0)&lt;=$C$39),E164*(1-$C$40)*(1-F$34),E164*(1-F$34)))+M164</f>
        <v>0</v>
      </c>
      <c r="X164" s="179">
        <f>IF(C164&gt;$C$10,0,IF(AND($C$38&gt;0,A164&gt;=$C$38,EOMONTH(A164,0)&lt;=$C$39),E164*(1-$C$40)*(1-G$34),E164*(1-G$34)))+M164</f>
        <v>0</v>
      </c>
      <c r="Y164" s="178">
        <f>IF(C164&gt;$C$10,0,IF(AND($C$38&gt;0,A164&gt;=$C$38,EOMONTH(A164,0)&lt;=$C$39),E164*(1-$C$40)*(1-H$34),E164*(1-H$34)))+M164</f>
        <v>0</v>
      </c>
      <c r="Z164" s="179">
        <f>IF(C164&gt;$C$10,0,IF(AND($C$38&gt;0,A164&gt;=$C$38,EOMONTH(A164,0)&lt;=$C$39),E164*(1-$C$40)*(1-I$34),E164*(1-I$34)))+M164</f>
        <v>0</v>
      </c>
      <c r="AA164" s="180">
        <f>IF(C164&gt;$C$10,0,IF(AND($C$38&gt;0,A164&gt;=$C$38,EOMONTH(A164,0)&lt;=$C$39),E164*(1-$C$40)*(1-J$34),E164*(1-J$34)))+M164</f>
        <v>0</v>
      </c>
    </row>
    <row r="165" spans="1:27" x14ac:dyDescent="0.25">
      <c r="A165" s="98">
        <f>EDATE($C$8,90)</f>
        <v>2738</v>
      </c>
      <c r="B165" s="99">
        <f>EDATE($C$8,91)-1</f>
        <v>2768</v>
      </c>
      <c r="C165" s="92">
        <f t="shared" si="23"/>
        <v>91</v>
      </c>
      <c r="D165" s="100">
        <f t="shared" si="13"/>
        <v>8</v>
      </c>
      <c r="E165" s="101">
        <f t="shared" si="14"/>
        <v>0</v>
      </c>
      <c r="F165" s="94">
        <f t="shared" si="24"/>
        <v>0</v>
      </c>
      <c r="G165" s="95">
        <f t="shared" si="25"/>
        <v>0</v>
      </c>
      <c r="H165" s="94">
        <f t="shared" si="15"/>
        <v>0</v>
      </c>
      <c r="I165" s="94">
        <f t="shared" si="16"/>
        <v>0</v>
      </c>
      <c r="J165" s="94">
        <f t="shared" si="17"/>
        <v>0</v>
      </c>
      <c r="K165" s="94">
        <f t="shared" si="18"/>
        <v>0</v>
      </c>
      <c r="L165" s="94">
        <f t="shared" si="19"/>
        <v>0</v>
      </c>
      <c r="M165" s="94">
        <f t="shared" si="20"/>
        <v>0</v>
      </c>
      <c r="N165" s="101">
        <f t="shared" si="21"/>
        <v>0</v>
      </c>
      <c r="O165" s="102">
        <f t="shared" si="22"/>
        <v>0</v>
      </c>
      <c r="P165" s="101">
        <f>MAX(SUM(N165:N198)+S165,0)</f>
        <v>0</v>
      </c>
      <c r="Q165" s="101">
        <f>SUM(F165:F198)</f>
        <v>0</v>
      </c>
      <c r="R165" s="101">
        <f>SUM(M165:M198)</f>
        <v>0</v>
      </c>
      <c r="S165" s="103">
        <f>SUMPRODUCT(($C$55:$C$67)*($D$55:$D$67&gt;=$A165))</f>
        <v>0</v>
      </c>
      <c r="T165" s="150">
        <f>IF(C165&gt;$C$10,0,IF(AND($C$38&gt;0,A165&gt;=$C$38,EOMONTH(A165,0)&lt;=$C$39),E165*(1-$C$40)*(1-G$15),E165*(1-G$15)))+M165</f>
        <v>0</v>
      </c>
      <c r="U165" s="150">
        <f>IF(C165&gt;$C$10,0,IF(AND($C$38&gt;0,A165&gt;=$C$38,EOMONTH(A165,0)&lt;=$C$39),E165*(1-$C$40)*(1-H$15),E165*(1-H$15)))+M165</f>
        <v>0</v>
      </c>
      <c r="V165" s="150">
        <f>IF(C165&gt;$C$10,0,IF(AND($C$38&gt;0,A165&gt;=$C$38,EOMONTH(A165,0)&lt;=$C$39),E165*(1-$C$40)*(1-I$15),E165*(1-I$15)))+M165</f>
        <v>0</v>
      </c>
      <c r="W165" s="181">
        <f>IF(C165&gt;$C$10,0,IF(AND($C$38&gt;0,A165&gt;=$C$38,EOMONTH(A165,0)&lt;=$C$39),E165*(1-$C$40)*(1-F$34),E165*(1-F$34)))+M165</f>
        <v>0</v>
      </c>
      <c r="X165" s="179">
        <f>IF(C165&gt;$C$10,0,IF(AND($C$38&gt;0,A165&gt;=$C$38,EOMONTH(A165,0)&lt;=$C$39),E165*(1-$C$40)*(1-G$34),E165*(1-G$34)))+M165</f>
        <v>0</v>
      </c>
      <c r="Y165" s="178">
        <f>IF(C165&gt;$C$10,0,IF(AND($C$38&gt;0,A165&gt;=$C$38,EOMONTH(A165,0)&lt;=$C$39),E165*(1-$C$40)*(1-H$34),E165*(1-H$34)))+M165</f>
        <v>0</v>
      </c>
      <c r="Z165" s="179">
        <f>IF(C165&gt;$C$10,0,IF(AND($C$38&gt;0,A165&gt;=$C$38,EOMONTH(A165,0)&lt;=$C$39),E165*(1-$C$40)*(1-I$34),E165*(1-I$34)))+M165</f>
        <v>0</v>
      </c>
      <c r="AA165" s="180">
        <f>IF(C165&gt;$C$10,0,IF(AND($C$38&gt;0,A165&gt;=$C$38,EOMONTH(A165,0)&lt;=$C$39),E165*(1-$C$40)*(1-J$34),E165*(1-J$34)))+M165</f>
        <v>0</v>
      </c>
    </row>
    <row r="166" spans="1:27" x14ac:dyDescent="0.25">
      <c r="A166" s="104">
        <f>EDATE($C$8,91)</f>
        <v>2769</v>
      </c>
      <c r="B166" s="105">
        <f>EDATE($C$8,92)-1</f>
        <v>2799</v>
      </c>
      <c r="C166" s="92">
        <f t="shared" si="23"/>
        <v>92</v>
      </c>
      <c r="D166" s="106">
        <f t="shared" si="13"/>
        <v>8</v>
      </c>
      <c r="E166" s="107">
        <f t="shared" si="14"/>
        <v>0</v>
      </c>
      <c r="F166" s="94">
        <f t="shared" si="24"/>
        <v>0</v>
      </c>
      <c r="G166" s="95">
        <f t="shared" si="25"/>
        <v>0</v>
      </c>
      <c r="H166" s="94">
        <f t="shared" si="15"/>
        <v>0</v>
      </c>
      <c r="I166" s="94">
        <f t="shared" si="16"/>
        <v>0</v>
      </c>
      <c r="J166" s="94">
        <f t="shared" si="17"/>
        <v>0</v>
      </c>
      <c r="K166" s="94">
        <f t="shared" si="18"/>
        <v>0</v>
      </c>
      <c r="L166" s="94">
        <f t="shared" si="19"/>
        <v>0</v>
      </c>
      <c r="M166" s="94">
        <f t="shared" si="20"/>
        <v>0</v>
      </c>
      <c r="N166" s="107">
        <f t="shared" si="21"/>
        <v>0</v>
      </c>
      <c r="O166" s="108">
        <f t="shared" si="22"/>
        <v>0</v>
      </c>
      <c r="P166" s="107">
        <f>MAX(SUM(N166:N198)+S166,0)</f>
        <v>0</v>
      </c>
      <c r="Q166" s="107">
        <f>SUM(F166:F198)</f>
        <v>0</v>
      </c>
      <c r="R166" s="107">
        <f>SUM(M166:M198)</f>
        <v>0</v>
      </c>
      <c r="S166" s="109">
        <f>SUMPRODUCT(($C$55:$C$67)*($D$55:$D$67&gt;=$A166))</f>
        <v>0</v>
      </c>
      <c r="T166" s="150">
        <f>IF(C166&gt;$C$10,0,IF(AND($C$38&gt;0,A166&gt;=$C$38,EOMONTH(A166,0)&lt;=$C$39),E166*(1-$C$40)*(1-G$15),E166*(1-G$15)))+M166</f>
        <v>0</v>
      </c>
      <c r="U166" s="150">
        <f>IF(C166&gt;$C$10,0,IF(AND($C$38&gt;0,A166&gt;=$C$38,EOMONTH(A166,0)&lt;=$C$39),E166*(1-$C$40)*(1-H$15),E166*(1-H$15)))+M166</f>
        <v>0</v>
      </c>
      <c r="V166" s="150">
        <f>IF(C166&gt;$C$10,0,IF(AND($C$38&gt;0,A166&gt;=$C$38,EOMONTH(A166,0)&lt;=$C$39),E166*(1-$C$40)*(1-I$15),E166*(1-I$15)))+M166</f>
        <v>0</v>
      </c>
      <c r="W166" s="181">
        <f>IF(C166&gt;$C$10,0,IF(AND($C$38&gt;0,A166&gt;=$C$38,EOMONTH(A166,0)&lt;=$C$39),E166*(1-$C$40)*(1-F$34),E166*(1-F$34)))+M166</f>
        <v>0</v>
      </c>
      <c r="X166" s="179">
        <f>IF(C166&gt;$C$10,0,IF(AND($C$38&gt;0,A166&gt;=$C$38,EOMONTH(A166,0)&lt;=$C$39),E166*(1-$C$40)*(1-G$34),E166*(1-G$34)))+M166</f>
        <v>0</v>
      </c>
      <c r="Y166" s="178">
        <f>IF(C166&gt;$C$10,0,IF(AND($C$38&gt;0,A166&gt;=$C$38,EOMONTH(A166,0)&lt;=$C$39),E166*(1-$C$40)*(1-H$34),E166*(1-H$34)))+M166</f>
        <v>0</v>
      </c>
      <c r="Z166" s="179">
        <f>IF(C166&gt;$C$10,0,IF(AND($C$38&gt;0,A166&gt;=$C$38,EOMONTH(A166,0)&lt;=$C$39),E166*(1-$C$40)*(1-I$34),E166*(1-I$34)))+M166</f>
        <v>0</v>
      </c>
      <c r="AA166" s="180">
        <f>IF(C166&gt;$C$10,0,IF(AND($C$38&gt;0,A166&gt;=$C$38,EOMONTH(A166,0)&lt;=$C$39),E166*(1-$C$40)*(1-J$34),E166*(1-J$34)))+M166</f>
        <v>0</v>
      </c>
    </row>
    <row r="167" spans="1:27" x14ac:dyDescent="0.25">
      <c r="A167" s="98">
        <f>EDATE($C$8,92)</f>
        <v>2800</v>
      </c>
      <c r="B167" s="99">
        <f>EDATE($C$8,93)-1</f>
        <v>2829</v>
      </c>
      <c r="C167" s="92">
        <f t="shared" si="23"/>
        <v>93</v>
      </c>
      <c r="D167" s="100">
        <f t="shared" si="13"/>
        <v>8</v>
      </c>
      <c r="E167" s="101">
        <f t="shared" si="14"/>
        <v>0</v>
      </c>
      <c r="F167" s="94">
        <f t="shared" si="24"/>
        <v>0</v>
      </c>
      <c r="G167" s="95">
        <f t="shared" si="25"/>
        <v>0</v>
      </c>
      <c r="H167" s="94">
        <f t="shared" si="15"/>
        <v>0</v>
      </c>
      <c r="I167" s="94">
        <f t="shared" si="16"/>
        <v>0</v>
      </c>
      <c r="J167" s="94">
        <f t="shared" si="17"/>
        <v>0</v>
      </c>
      <c r="K167" s="94">
        <f t="shared" si="18"/>
        <v>0</v>
      </c>
      <c r="L167" s="94">
        <f t="shared" si="19"/>
        <v>0</v>
      </c>
      <c r="M167" s="94">
        <f t="shared" si="20"/>
        <v>0</v>
      </c>
      <c r="N167" s="101">
        <f t="shared" si="21"/>
        <v>0</v>
      </c>
      <c r="O167" s="102">
        <f t="shared" si="22"/>
        <v>0</v>
      </c>
      <c r="P167" s="101">
        <f>MAX(SUM(N167:N198)+S167,0)</f>
        <v>0</v>
      </c>
      <c r="Q167" s="101">
        <f>SUM(F167:F198)</f>
        <v>0</v>
      </c>
      <c r="R167" s="101">
        <f>SUM(M167:M198)</f>
        <v>0</v>
      </c>
      <c r="S167" s="103">
        <f>SUMPRODUCT(($C$55:$C$67)*($D$55:$D$67&gt;=$A167))</f>
        <v>0</v>
      </c>
      <c r="T167" s="150">
        <f>IF(C167&gt;$C$10,0,IF(AND($C$38&gt;0,A167&gt;=$C$38,EOMONTH(A167,0)&lt;=$C$39),E167*(1-$C$40)*(1-G$15),E167*(1-G$15)))+M167</f>
        <v>0</v>
      </c>
      <c r="U167" s="150">
        <f>IF(C167&gt;$C$10,0,IF(AND($C$38&gt;0,A167&gt;=$C$38,EOMONTH(A167,0)&lt;=$C$39),E167*(1-$C$40)*(1-H$15),E167*(1-H$15)))+M167</f>
        <v>0</v>
      </c>
      <c r="V167" s="150">
        <f>IF(C167&gt;$C$10,0,IF(AND($C$38&gt;0,A167&gt;=$C$38,EOMONTH(A167,0)&lt;=$C$39),E167*(1-$C$40)*(1-I$15),E167*(1-I$15)))+M167</f>
        <v>0</v>
      </c>
      <c r="W167" s="181">
        <f>IF(C167&gt;$C$10,0,IF(AND($C$38&gt;0,A167&gt;=$C$38,EOMONTH(A167,0)&lt;=$C$39),E167*(1-$C$40)*(1-F$34),E167*(1-F$34)))+M167</f>
        <v>0</v>
      </c>
      <c r="X167" s="179">
        <f>IF(C167&gt;$C$10,0,IF(AND($C$38&gt;0,A167&gt;=$C$38,EOMONTH(A167,0)&lt;=$C$39),E167*(1-$C$40)*(1-G$34),E167*(1-G$34)))+M167</f>
        <v>0</v>
      </c>
      <c r="Y167" s="178">
        <f>IF(C167&gt;$C$10,0,IF(AND($C$38&gt;0,A167&gt;=$C$38,EOMONTH(A167,0)&lt;=$C$39),E167*(1-$C$40)*(1-H$34),E167*(1-H$34)))+M167</f>
        <v>0</v>
      </c>
      <c r="Z167" s="179">
        <f>IF(C167&gt;$C$10,0,IF(AND($C$38&gt;0,A167&gt;=$C$38,EOMONTH(A167,0)&lt;=$C$39),E167*(1-$C$40)*(1-I$34),E167*(1-I$34)))+M167</f>
        <v>0</v>
      </c>
      <c r="AA167" s="180">
        <f>IF(C167&gt;$C$10,0,IF(AND($C$38&gt;0,A167&gt;=$C$38,EOMONTH(A167,0)&lt;=$C$39),E167*(1-$C$40)*(1-J$34),E167*(1-J$34)))+M167</f>
        <v>0</v>
      </c>
    </row>
    <row r="168" spans="1:27" x14ac:dyDescent="0.25">
      <c r="A168" s="104">
        <f>EDATE($C$8,93)</f>
        <v>2830</v>
      </c>
      <c r="B168" s="105">
        <f>EDATE($C$8,94)-1</f>
        <v>2860</v>
      </c>
      <c r="C168" s="92">
        <f t="shared" si="23"/>
        <v>94</v>
      </c>
      <c r="D168" s="106">
        <f t="shared" si="13"/>
        <v>8</v>
      </c>
      <c r="E168" s="107">
        <f t="shared" si="14"/>
        <v>0</v>
      </c>
      <c r="F168" s="94">
        <f t="shared" si="24"/>
        <v>0</v>
      </c>
      <c r="G168" s="95">
        <f t="shared" si="25"/>
        <v>0</v>
      </c>
      <c r="H168" s="94">
        <f t="shared" si="15"/>
        <v>0</v>
      </c>
      <c r="I168" s="94">
        <f t="shared" si="16"/>
        <v>0</v>
      </c>
      <c r="J168" s="94">
        <f t="shared" si="17"/>
        <v>0</v>
      </c>
      <c r="K168" s="94">
        <f t="shared" si="18"/>
        <v>0</v>
      </c>
      <c r="L168" s="94">
        <f t="shared" si="19"/>
        <v>0</v>
      </c>
      <c r="M168" s="94">
        <f t="shared" si="20"/>
        <v>0</v>
      </c>
      <c r="N168" s="107">
        <f t="shared" si="21"/>
        <v>0</v>
      </c>
      <c r="O168" s="108">
        <f t="shared" si="22"/>
        <v>0</v>
      </c>
      <c r="P168" s="107">
        <f>MAX(SUM(N168:N198)+S168,0)</f>
        <v>0</v>
      </c>
      <c r="Q168" s="107">
        <f>SUM(F168:F198)</f>
        <v>0</v>
      </c>
      <c r="R168" s="107">
        <f>SUM(M168:M198)</f>
        <v>0</v>
      </c>
      <c r="S168" s="109">
        <f>SUMPRODUCT(($C$55:$C$67)*($D$55:$D$67&gt;=$A168))</f>
        <v>0</v>
      </c>
      <c r="T168" s="150">
        <f>IF(C168&gt;$C$10,0,IF(AND($C$38&gt;0,A168&gt;=$C$38,EOMONTH(A168,0)&lt;=$C$39),E168*(1-$C$40)*(1-G$15),E168*(1-G$15)))+M168</f>
        <v>0</v>
      </c>
      <c r="U168" s="150">
        <f>IF(C168&gt;$C$10,0,IF(AND($C$38&gt;0,A168&gt;=$C$38,EOMONTH(A168,0)&lt;=$C$39),E168*(1-$C$40)*(1-H$15),E168*(1-H$15)))+M168</f>
        <v>0</v>
      </c>
      <c r="V168" s="150">
        <f>IF(C168&gt;$C$10,0,IF(AND($C$38&gt;0,A168&gt;=$C$38,EOMONTH(A168,0)&lt;=$C$39),E168*(1-$C$40)*(1-I$15),E168*(1-I$15)))+M168</f>
        <v>0</v>
      </c>
      <c r="W168" s="181">
        <f>IF(C168&gt;$C$10,0,IF(AND($C$38&gt;0,A168&gt;=$C$38,EOMONTH(A168,0)&lt;=$C$39),E168*(1-$C$40)*(1-F$34),E168*(1-F$34)))+M168</f>
        <v>0</v>
      </c>
      <c r="X168" s="179">
        <f>IF(C168&gt;$C$10,0,IF(AND($C$38&gt;0,A168&gt;=$C$38,EOMONTH(A168,0)&lt;=$C$39),E168*(1-$C$40)*(1-G$34),E168*(1-G$34)))+M168</f>
        <v>0</v>
      </c>
      <c r="Y168" s="178">
        <f>IF(C168&gt;$C$10,0,IF(AND($C$38&gt;0,A168&gt;=$C$38,EOMONTH(A168,0)&lt;=$C$39),E168*(1-$C$40)*(1-H$34),E168*(1-H$34)))+M168</f>
        <v>0</v>
      </c>
      <c r="Z168" s="179">
        <f>IF(C168&gt;$C$10,0,IF(AND($C$38&gt;0,A168&gt;=$C$38,EOMONTH(A168,0)&lt;=$C$39),E168*(1-$C$40)*(1-I$34),E168*(1-I$34)))+M168</f>
        <v>0</v>
      </c>
      <c r="AA168" s="180">
        <f>IF(C168&gt;$C$10,0,IF(AND($C$38&gt;0,A168&gt;=$C$38,EOMONTH(A168,0)&lt;=$C$39),E168*(1-$C$40)*(1-J$34),E168*(1-J$34)))+M168</f>
        <v>0</v>
      </c>
    </row>
    <row r="169" spans="1:27" x14ac:dyDescent="0.25">
      <c r="A169" s="98">
        <f>EDATE($C$8,94)</f>
        <v>2861</v>
      </c>
      <c r="B169" s="99">
        <f>EDATE($C$8,95)-1</f>
        <v>2890</v>
      </c>
      <c r="C169" s="92">
        <f t="shared" si="23"/>
        <v>95</v>
      </c>
      <c r="D169" s="100">
        <f t="shared" si="13"/>
        <v>8</v>
      </c>
      <c r="E169" s="101">
        <f t="shared" si="14"/>
        <v>0</v>
      </c>
      <c r="F169" s="94">
        <f t="shared" si="24"/>
        <v>0</v>
      </c>
      <c r="G169" s="95">
        <f t="shared" si="25"/>
        <v>0</v>
      </c>
      <c r="H169" s="94">
        <f t="shared" si="15"/>
        <v>0</v>
      </c>
      <c r="I169" s="94">
        <f t="shared" si="16"/>
        <v>0</v>
      </c>
      <c r="J169" s="94">
        <f t="shared" si="17"/>
        <v>0</v>
      </c>
      <c r="K169" s="94">
        <f t="shared" si="18"/>
        <v>0</v>
      </c>
      <c r="L169" s="94">
        <f t="shared" si="19"/>
        <v>0</v>
      </c>
      <c r="M169" s="94">
        <f t="shared" si="20"/>
        <v>0</v>
      </c>
      <c r="N169" s="101">
        <f t="shared" si="21"/>
        <v>0</v>
      </c>
      <c r="O169" s="102">
        <f t="shared" si="22"/>
        <v>0</v>
      </c>
      <c r="P169" s="101">
        <f>MAX(SUM(N169:N198)+S169,0)</f>
        <v>0</v>
      </c>
      <c r="Q169" s="101">
        <f>SUM(F169:F198)</f>
        <v>0</v>
      </c>
      <c r="R169" s="101">
        <f>SUM(M169:M198)</f>
        <v>0</v>
      </c>
      <c r="S169" s="103">
        <f>SUMPRODUCT(($C$55:$C$67)*($D$55:$D$67&gt;=$A169))</f>
        <v>0</v>
      </c>
      <c r="T169" s="150">
        <f>IF(C169&gt;$C$10,0,IF(AND($C$38&gt;0,A169&gt;=$C$38,EOMONTH(A169,0)&lt;=$C$39),E169*(1-$C$40)*(1-G$15),E169*(1-G$15)))+M169</f>
        <v>0</v>
      </c>
      <c r="U169" s="150">
        <f>IF(C169&gt;$C$10,0,IF(AND($C$38&gt;0,A169&gt;=$C$38,EOMONTH(A169,0)&lt;=$C$39),E169*(1-$C$40)*(1-H$15),E169*(1-H$15)))+M169</f>
        <v>0</v>
      </c>
      <c r="V169" s="150">
        <f>IF(C169&gt;$C$10,0,IF(AND($C$38&gt;0,A169&gt;=$C$38,EOMONTH(A169,0)&lt;=$C$39),E169*(1-$C$40)*(1-I$15),E169*(1-I$15)))+M169</f>
        <v>0</v>
      </c>
      <c r="W169" s="181">
        <f>IF(C169&gt;$C$10,0,IF(AND($C$38&gt;0,A169&gt;=$C$38,EOMONTH(A169,0)&lt;=$C$39),E169*(1-$C$40)*(1-F$34),E169*(1-F$34)))+M169</f>
        <v>0</v>
      </c>
      <c r="X169" s="179">
        <f>IF(C169&gt;$C$10,0,IF(AND($C$38&gt;0,A169&gt;=$C$38,EOMONTH(A169,0)&lt;=$C$39),E169*(1-$C$40)*(1-G$34),E169*(1-G$34)))+M169</f>
        <v>0</v>
      </c>
      <c r="Y169" s="178">
        <f>IF(C169&gt;$C$10,0,IF(AND($C$38&gt;0,A169&gt;=$C$38,EOMONTH(A169,0)&lt;=$C$39),E169*(1-$C$40)*(1-H$34),E169*(1-H$34)))+M169</f>
        <v>0</v>
      </c>
      <c r="Z169" s="179">
        <f>IF(C169&gt;$C$10,0,IF(AND($C$38&gt;0,A169&gt;=$C$38,EOMONTH(A169,0)&lt;=$C$39),E169*(1-$C$40)*(1-I$34),E169*(1-I$34)))+M169</f>
        <v>0</v>
      </c>
      <c r="AA169" s="180">
        <f>IF(C169&gt;$C$10,0,IF(AND($C$38&gt;0,A169&gt;=$C$38,EOMONTH(A169,0)&lt;=$C$39),E169*(1-$C$40)*(1-J$34),E169*(1-J$34)))+M169</f>
        <v>0</v>
      </c>
    </row>
    <row r="170" spans="1:27" x14ac:dyDescent="0.25">
      <c r="A170" s="104">
        <f>EDATE($C$8,95)</f>
        <v>2891</v>
      </c>
      <c r="B170" s="105">
        <f>EDATE($C$8,96)-1</f>
        <v>2921</v>
      </c>
      <c r="C170" s="92">
        <f t="shared" si="23"/>
        <v>96</v>
      </c>
      <c r="D170" s="106">
        <f t="shared" si="13"/>
        <v>8</v>
      </c>
      <c r="E170" s="107">
        <f t="shared" si="14"/>
        <v>0</v>
      </c>
      <c r="F170" s="94">
        <f t="shared" si="24"/>
        <v>0</v>
      </c>
      <c r="G170" s="95">
        <f t="shared" si="25"/>
        <v>0</v>
      </c>
      <c r="H170" s="94">
        <f t="shared" si="15"/>
        <v>0</v>
      </c>
      <c r="I170" s="94">
        <f t="shared" si="16"/>
        <v>0</v>
      </c>
      <c r="J170" s="94">
        <f t="shared" si="17"/>
        <v>0</v>
      </c>
      <c r="K170" s="94">
        <f t="shared" si="18"/>
        <v>0</v>
      </c>
      <c r="L170" s="94">
        <f t="shared" si="19"/>
        <v>0</v>
      </c>
      <c r="M170" s="94">
        <f t="shared" si="20"/>
        <v>0</v>
      </c>
      <c r="N170" s="107">
        <f t="shared" si="21"/>
        <v>0</v>
      </c>
      <c r="O170" s="108">
        <f t="shared" si="22"/>
        <v>0</v>
      </c>
      <c r="P170" s="107">
        <f>MAX(SUM(N170:N198)+S170,0)</f>
        <v>0</v>
      </c>
      <c r="Q170" s="107">
        <f>SUM(F170:F198)</f>
        <v>0</v>
      </c>
      <c r="R170" s="107">
        <f>SUM(M170:M198)</f>
        <v>0</v>
      </c>
      <c r="S170" s="109">
        <f>SUMPRODUCT(($C$55:$C$67)*($D$55:$D$67&gt;=$A170))</f>
        <v>0</v>
      </c>
      <c r="T170" s="150">
        <f>IF(C170&gt;$C$10,0,IF(AND($C$38&gt;0,A170&gt;=$C$38,EOMONTH(A170,0)&lt;=$C$39),E170*(1-$C$40)*(1-G$15),E170*(1-G$15)))+M170</f>
        <v>0</v>
      </c>
      <c r="U170" s="150">
        <f>IF(C170&gt;$C$10,0,IF(AND($C$38&gt;0,A170&gt;=$C$38,EOMONTH(A170,0)&lt;=$C$39),E170*(1-$C$40)*(1-H$15),E170*(1-H$15)))+M170</f>
        <v>0</v>
      </c>
      <c r="V170" s="150">
        <f>IF(C170&gt;$C$10,0,IF(AND($C$38&gt;0,A170&gt;=$C$38,EOMONTH(A170,0)&lt;=$C$39),E170*(1-$C$40)*(1-I$15),E170*(1-I$15)))+M170</f>
        <v>0</v>
      </c>
      <c r="W170" s="181">
        <f>IF(C170&gt;$C$10,0,IF(AND($C$38&gt;0,A170&gt;=$C$38,EOMONTH(A170,0)&lt;=$C$39),E170*(1-$C$40)*(1-F$34),E170*(1-F$34)))+M170</f>
        <v>0</v>
      </c>
      <c r="X170" s="179">
        <f>IF(C170&gt;$C$10,0,IF(AND($C$38&gt;0,A170&gt;=$C$38,EOMONTH(A170,0)&lt;=$C$39),E170*(1-$C$40)*(1-G$34),E170*(1-G$34)))+M170</f>
        <v>0</v>
      </c>
      <c r="Y170" s="178">
        <f>IF(C170&gt;$C$10,0,IF(AND($C$38&gt;0,A170&gt;=$C$38,EOMONTH(A170,0)&lt;=$C$39),E170*(1-$C$40)*(1-H$34),E170*(1-H$34)))+M170</f>
        <v>0</v>
      </c>
      <c r="Z170" s="179">
        <f>IF(C170&gt;$C$10,0,IF(AND($C$38&gt;0,A170&gt;=$C$38,EOMONTH(A170,0)&lt;=$C$39),E170*(1-$C$40)*(1-I$34),E170*(1-I$34)))+M170</f>
        <v>0</v>
      </c>
      <c r="AA170" s="180">
        <f>IF(C170&gt;$C$10,0,IF(AND($C$38&gt;0,A170&gt;=$C$38,EOMONTH(A170,0)&lt;=$C$39),E170*(1-$C$40)*(1-J$34),E170*(1-J$34)))+M170</f>
        <v>0</v>
      </c>
    </row>
    <row r="171" spans="1:27" x14ac:dyDescent="0.25">
      <c r="A171" s="98">
        <f>EDATE($C$8,96)</f>
        <v>2922</v>
      </c>
      <c r="B171" s="99">
        <f>EDATE($C$8,97)-1</f>
        <v>2952</v>
      </c>
      <c r="C171" s="92">
        <f t="shared" si="23"/>
        <v>97</v>
      </c>
      <c r="D171" s="100">
        <f t="shared" si="13"/>
        <v>9</v>
      </c>
      <c r="E171" s="101">
        <f t="shared" si="14"/>
        <v>0</v>
      </c>
      <c r="F171" s="94">
        <f t="shared" si="24"/>
        <v>0</v>
      </c>
      <c r="G171" s="95">
        <f t="shared" si="25"/>
        <v>0</v>
      </c>
      <c r="H171" s="94">
        <f t="shared" si="15"/>
        <v>0</v>
      </c>
      <c r="I171" s="94">
        <f t="shared" si="16"/>
        <v>0</v>
      </c>
      <c r="J171" s="94">
        <f t="shared" si="17"/>
        <v>0</v>
      </c>
      <c r="K171" s="94">
        <f t="shared" si="18"/>
        <v>0</v>
      </c>
      <c r="L171" s="94">
        <f t="shared" si="19"/>
        <v>0</v>
      </c>
      <c r="M171" s="94">
        <f t="shared" si="20"/>
        <v>0</v>
      </c>
      <c r="N171" s="101">
        <f t="shared" si="21"/>
        <v>0</v>
      </c>
      <c r="O171" s="102">
        <f t="shared" si="22"/>
        <v>0</v>
      </c>
      <c r="P171" s="101">
        <f>MAX(SUM(N171:N198)+S171,0)</f>
        <v>0</v>
      </c>
      <c r="Q171" s="101">
        <f>SUM(F171:F198)</f>
        <v>0</v>
      </c>
      <c r="R171" s="101">
        <f>SUM(M171:M198)</f>
        <v>0</v>
      </c>
      <c r="S171" s="103">
        <f>SUMPRODUCT(($C$55:$C$67)*($D$55:$D$67&gt;=$A171))</f>
        <v>0</v>
      </c>
      <c r="T171" s="150">
        <f>IF(C171&gt;$C$10,0,IF(AND($C$38&gt;0,A171&gt;=$C$38,EOMONTH(A171,0)&lt;=$C$39),E171*(1-$C$40)*(1-G$15),E171*(1-G$15)))+M171</f>
        <v>0</v>
      </c>
      <c r="U171" s="150">
        <f>IF(C171&gt;$C$10,0,IF(AND($C$38&gt;0,A171&gt;=$C$38,EOMONTH(A171,0)&lt;=$C$39),E171*(1-$C$40)*(1-H$15),E171*(1-H$15)))+M171</f>
        <v>0</v>
      </c>
      <c r="V171" s="150">
        <f>IF(C171&gt;$C$10,0,IF(AND($C$38&gt;0,A171&gt;=$C$38,EOMONTH(A171,0)&lt;=$C$39),E171*(1-$C$40)*(1-I$15),E171*(1-I$15)))+M171</f>
        <v>0</v>
      </c>
      <c r="W171" s="181">
        <f>IF(C171&gt;$C$10,0,IF(AND($C$38&gt;0,A171&gt;=$C$38,EOMONTH(A171,0)&lt;=$C$39),E171*(1-$C$40)*(1-F$34),E171*(1-F$34)))+M171</f>
        <v>0</v>
      </c>
      <c r="X171" s="179">
        <f>IF(C171&gt;$C$10,0,IF(AND($C$38&gt;0,A171&gt;=$C$38,EOMONTH(A171,0)&lt;=$C$39),E171*(1-$C$40)*(1-G$34),E171*(1-G$34)))+M171</f>
        <v>0</v>
      </c>
      <c r="Y171" s="178">
        <f>IF(C171&gt;$C$10,0,IF(AND($C$38&gt;0,A171&gt;=$C$38,EOMONTH(A171,0)&lt;=$C$39),E171*(1-$C$40)*(1-H$34),E171*(1-H$34)))+M171</f>
        <v>0</v>
      </c>
      <c r="Z171" s="179">
        <f>IF(C171&gt;$C$10,0,IF(AND($C$38&gt;0,A171&gt;=$C$38,EOMONTH(A171,0)&lt;=$C$39),E171*(1-$C$40)*(1-I$34),E171*(1-I$34)))+M171</f>
        <v>0</v>
      </c>
      <c r="AA171" s="180">
        <f>IF(C171&gt;$C$10,0,IF(AND($C$38&gt;0,A171&gt;=$C$38,EOMONTH(A171,0)&lt;=$C$39),E171*(1-$C$40)*(1-J$34),E171*(1-J$34)))+M171</f>
        <v>0</v>
      </c>
    </row>
    <row r="172" spans="1:27" x14ac:dyDescent="0.25">
      <c r="A172" s="104">
        <f>EDATE($C$8,97)</f>
        <v>2953</v>
      </c>
      <c r="B172" s="105">
        <f>EDATE($C$8,98)-1</f>
        <v>2981</v>
      </c>
      <c r="C172" s="92">
        <f t="shared" si="23"/>
        <v>98</v>
      </c>
      <c r="D172" s="106">
        <f t="shared" si="13"/>
        <v>9</v>
      </c>
      <c r="E172" s="107">
        <f t="shared" si="14"/>
        <v>0</v>
      </c>
      <c r="F172" s="94">
        <f t="shared" si="24"/>
        <v>0</v>
      </c>
      <c r="G172" s="95">
        <f t="shared" si="25"/>
        <v>0</v>
      </c>
      <c r="H172" s="94">
        <f t="shared" si="15"/>
        <v>0</v>
      </c>
      <c r="I172" s="94">
        <f t="shared" si="16"/>
        <v>0</v>
      </c>
      <c r="J172" s="94">
        <f t="shared" si="17"/>
        <v>0</v>
      </c>
      <c r="K172" s="94">
        <f t="shared" si="18"/>
        <v>0</v>
      </c>
      <c r="L172" s="94">
        <f t="shared" si="19"/>
        <v>0</v>
      </c>
      <c r="M172" s="94">
        <f t="shared" si="20"/>
        <v>0</v>
      </c>
      <c r="N172" s="107">
        <f t="shared" si="21"/>
        <v>0</v>
      </c>
      <c r="O172" s="108">
        <f t="shared" si="22"/>
        <v>0</v>
      </c>
      <c r="P172" s="107">
        <f>MAX(SUM(N172:N198)+S172,0)</f>
        <v>0</v>
      </c>
      <c r="Q172" s="107">
        <f>SUM(F172:F198)</f>
        <v>0</v>
      </c>
      <c r="R172" s="107">
        <f>SUM(M172:M198)</f>
        <v>0</v>
      </c>
      <c r="S172" s="109">
        <f>SUMPRODUCT(($C$55:$C$67)*($D$55:$D$67&gt;=$A172))</f>
        <v>0</v>
      </c>
      <c r="T172" s="150">
        <f>IF(C172&gt;$C$10,0,IF(AND($C$38&gt;0,A172&gt;=$C$38,EOMONTH(A172,0)&lt;=$C$39),E172*(1-$C$40)*(1-G$15),E172*(1-G$15)))+M172</f>
        <v>0</v>
      </c>
      <c r="U172" s="150">
        <f>IF(C172&gt;$C$10,0,IF(AND($C$38&gt;0,A172&gt;=$C$38,EOMONTH(A172,0)&lt;=$C$39),E172*(1-$C$40)*(1-H$15),E172*(1-H$15)))+M172</f>
        <v>0</v>
      </c>
      <c r="V172" s="150">
        <f>IF(C172&gt;$C$10,0,IF(AND($C$38&gt;0,A172&gt;=$C$38,EOMONTH(A172,0)&lt;=$C$39),E172*(1-$C$40)*(1-I$15),E172*(1-I$15)))+M172</f>
        <v>0</v>
      </c>
      <c r="W172" s="181">
        <f>IF(C172&gt;$C$10,0,IF(AND($C$38&gt;0,A172&gt;=$C$38,EOMONTH(A172,0)&lt;=$C$39),E172*(1-$C$40)*(1-F$34),E172*(1-F$34)))+M172</f>
        <v>0</v>
      </c>
      <c r="X172" s="179">
        <f>IF(C172&gt;$C$10,0,IF(AND($C$38&gt;0,A172&gt;=$C$38,EOMONTH(A172,0)&lt;=$C$39),E172*(1-$C$40)*(1-G$34),E172*(1-G$34)))+M172</f>
        <v>0</v>
      </c>
      <c r="Y172" s="178">
        <f>IF(C172&gt;$C$10,0,IF(AND($C$38&gt;0,A172&gt;=$C$38,EOMONTH(A172,0)&lt;=$C$39),E172*(1-$C$40)*(1-H$34),E172*(1-H$34)))+M172</f>
        <v>0</v>
      </c>
      <c r="Z172" s="179">
        <f>IF(C172&gt;$C$10,0,IF(AND($C$38&gt;0,A172&gt;=$C$38,EOMONTH(A172,0)&lt;=$C$39),E172*(1-$C$40)*(1-I$34),E172*(1-I$34)))+M172</f>
        <v>0</v>
      </c>
      <c r="AA172" s="180">
        <f>IF(C172&gt;$C$10,0,IF(AND($C$38&gt;0,A172&gt;=$C$38,EOMONTH(A172,0)&lt;=$C$39),E172*(1-$C$40)*(1-J$34),E172*(1-J$34)))+M172</f>
        <v>0</v>
      </c>
    </row>
    <row r="173" spans="1:27" x14ac:dyDescent="0.25">
      <c r="A173" s="98">
        <f>EDATE($C$8,98)</f>
        <v>2982</v>
      </c>
      <c r="B173" s="99">
        <f>EDATE($C$8,99)-1</f>
        <v>3012</v>
      </c>
      <c r="C173" s="92">
        <f t="shared" si="23"/>
        <v>99</v>
      </c>
      <c r="D173" s="100">
        <f t="shared" si="13"/>
        <v>9</v>
      </c>
      <c r="E173" s="101">
        <f t="shared" si="14"/>
        <v>0</v>
      </c>
      <c r="F173" s="94">
        <f t="shared" si="24"/>
        <v>0</v>
      </c>
      <c r="G173" s="95">
        <f t="shared" si="25"/>
        <v>0</v>
      </c>
      <c r="H173" s="94">
        <f t="shared" si="15"/>
        <v>0</v>
      </c>
      <c r="I173" s="94">
        <f t="shared" si="16"/>
        <v>0</v>
      </c>
      <c r="J173" s="94">
        <f t="shared" si="17"/>
        <v>0</v>
      </c>
      <c r="K173" s="94">
        <f t="shared" si="18"/>
        <v>0</v>
      </c>
      <c r="L173" s="94">
        <f t="shared" si="19"/>
        <v>0</v>
      </c>
      <c r="M173" s="94">
        <f t="shared" si="20"/>
        <v>0</v>
      </c>
      <c r="N173" s="101">
        <f t="shared" si="21"/>
        <v>0</v>
      </c>
      <c r="O173" s="102">
        <f t="shared" si="22"/>
        <v>0</v>
      </c>
      <c r="P173" s="101">
        <f>MAX(SUM(N173:N198)+S173,0)</f>
        <v>0</v>
      </c>
      <c r="Q173" s="101">
        <f>SUM(F173:F198)</f>
        <v>0</v>
      </c>
      <c r="R173" s="101">
        <f>SUM(M173:M198)</f>
        <v>0</v>
      </c>
      <c r="S173" s="103">
        <f>SUMPRODUCT(($C$55:$C$67)*($D$55:$D$67&gt;=$A173))</f>
        <v>0</v>
      </c>
      <c r="T173" s="150">
        <f>IF(C173&gt;$C$10,0,IF(AND($C$38&gt;0,A173&gt;=$C$38,EOMONTH(A173,0)&lt;=$C$39),E173*(1-$C$40)*(1-G$15),E173*(1-G$15)))+M173</f>
        <v>0</v>
      </c>
      <c r="U173" s="150">
        <f>IF(C173&gt;$C$10,0,IF(AND($C$38&gt;0,A173&gt;=$C$38,EOMONTH(A173,0)&lt;=$C$39),E173*(1-$C$40)*(1-H$15),E173*(1-H$15)))+M173</f>
        <v>0</v>
      </c>
      <c r="V173" s="150">
        <f>IF(C173&gt;$C$10,0,IF(AND($C$38&gt;0,A173&gt;=$C$38,EOMONTH(A173,0)&lt;=$C$39),E173*(1-$C$40)*(1-I$15),E173*(1-I$15)))+M173</f>
        <v>0</v>
      </c>
      <c r="W173" s="181">
        <f>IF(C173&gt;$C$10,0,IF(AND($C$38&gt;0,A173&gt;=$C$38,EOMONTH(A173,0)&lt;=$C$39),E173*(1-$C$40)*(1-F$34),E173*(1-F$34)))+M173</f>
        <v>0</v>
      </c>
      <c r="X173" s="179">
        <f>IF(C173&gt;$C$10,0,IF(AND($C$38&gt;0,A173&gt;=$C$38,EOMONTH(A173,0)&lt;=$C$39),E173*(1-$C$40)*(1-G$34),E173*(1-G$34)))+M173</f>
        <v>0</v>
      </c>
      <c r="Y173" s="178">
        <f>IF(C173&gt;$C$10,0,IF(AND($C$38&gt;0,A173&gt;=$C$38,EOMONTH(A173,0)&lt;=$C$39),E173*(1-$C$40)*(1-H$34),E173*(1-H$34)))+M173</f>
        <v>0</v>
      </c>
      <c r="Z173" s="179">
        <f>IF(C173&gt;$C$10,0,IF(AND($C$38&gt;0,A173&gt;=$C$38,EOMONTH(A173,0)&lt;=$C$39),E173*(1-$C$40)*(1-I$34),E173*(1-I$34)))+M173</f>
        <v>0</v>
      </c>
      <c r="AA173" s="180">
        <f>IF(C173&gt;$C$10,0,IF(AND($C$38&gt;0,A173&gt;=$C$38,EOMONTH(A173,0)&lt;=$C$39),E173*(1-$C$40)*(1-J$34),E173*(1-J$34)))+M173</f>
        <v>0</v>
      </c>
    </row>
    <row r="174" spans="1:27" x14ac:dyDescent="0.25">
      <c r="A174" s="104">
        <f>EDATE($C$8,99)</f>
        <v>3013</v>
      </c>
      <c r="B174" s="105">
        <f>EDATE($C$8,100)-1</f>
        <v>3042</v>
      </c>
      <c r="C174" s="92">
        <f t="shared" si="23"/>
        <v>100</v>
      </c>
      <c r="D174" s="106">
        <f t="shared" si="13"/>
        <v>9</v>
      </c>
      <c r="E174" s="107">
        <f t="shared" si="14"/>
        <v>0</v>
      </c>
      <c r="F174" s="94">
        <f t="shared" si="24"/>
        <v>0</v>
      </c>
      <c r="G174" s="95">
        <f t="shared" si="25"/>
        <v>0</v>
      </c>
      <c r="H174" s="94">
        <f t="shared" si="15"/>
        <v>0</v>
      </c>
      <c r="I174" s="94">
        <f t="shared" si="16"/>
        <v>0</v>
      </c>
      <c r="J174" s="94">
        <f t="shared" si="17"/>
        <v>0</v>
      </c>
      <c r="K174" s="94">
        <f t="shared" si="18"/>
        <v>0</v>
      </c>
      <c r="L174" s="94">
        <f t="shared" si="19"/>
        <v>0</v>
      </c>
      <c r="M174" s="94">
        <f t="shared" si="20"/>
        <v>0</v>
      </c>
      <c r="N174" s="107">
        <f t="shared" si="21"/>
        <v>0</v>
      </c>
      <c r="O174" s="108">
        <f t="shared" si="22"/>
        <v>0</v>
      </c>
      <c r="P174" s="107">
        <f>MAX(SUM(N174:N198)+S174,0)</f>
        <v>0</v>
      </c>
      <c r="Q174" s="107">
        <f>SUM(F174:F198)</f>
        <v>0</v>
      </c>
      <c r="R174" s="107">
        <f>SUM(M174:M198)</f>
        <v>0</v>
      </c>
      <c r="S174" s="109">
        <f>SUMPRODUCT(($C$55:$C$67)*($D$55:$D$67&gt;=$A174))</f>
        <v>0</v>
      </c>
      <c r="T174" s="150">
        <f>IF(C174&gt;$C$10,0,IF(AND($C$38&gt;0,A174&gt;=$C$38,EOMONTH(A174,0)&lt;=$C$39),E174*(1-$C$40)*(1-G$15),E174*(1-G$15)))+M174</f>
        <v>0</v>
      </c>
      <c r="U174" s="150">
        <f>IF(C174&gt;$C$10,0,IF(AND($C$38&gt;0,A174&gt;=$C$38,EOMONTH(A174,0)&lt;=$C$39),E174*(1-$C$40)*(1-H$15),E174*(1-H$15)))+M174</f>
        <v>0</v>
      </c>
      <c r="V174" s="150">
        <f>IF(C174&gt;$C$10,0,IF(AND($C$38&gt;0,A174&gt;=$C$38,EOMONTH(A174,0)&lt;=$C$39),E174*(1-$C$40)*(1-I$15),E174*(1-I$15)))+M174</f>
        <v>0</v>
      </c>
      <c r="W174" s="181">
        <f>IF(C174&gt;$C$10,0,IF(AND($C$38&gt;0,A174&gt;=$C$38,EOMONTH(A174,0)&lt;=$C$39),E174*(1-$C$40)*(1-F$34),E174*(1-F$34)))+M174</f>
        <v>0</v>
      </c>
      <c r="X174" s="179">
        <f>IF(C174&gt;$C$10,0,IF(AND($C$38&gt;0,A174&gt;=$C$38,EOMONTH(A174,0)&lt;=$C$39),E174*(1-$C$40)*(1-G$34),E174*(1-G$34)))+M174</f>
        <v>0</v>
      </c>
      <c r="Y174" s="178">
        <f>IF(C174&gt;$C$10,0,IF(AND($C$38&gt;0,A174&gt;=$C$38,EOMONTH(A174,0)&lt;=$C$39),E174*(1-$C$40)*(1-H$34),E174*(1-H$34)))+M174</f>
        <v>0</v>
      </c>
      <c r="Z174" s="179">
        <f>IF(C174&gt;$C$10,0,IF(AND($C$38&gt;0,A174&gt;=$C$38,EOMONTH(A174,0)&lt;=$C$39),E174*(1-$C$40)*(1-I$34),E174*(1-I$34)))+M174</f>
        <v>0</v>
      </c>
      <c r="AA174" s="180">
        <f>IF(C174&gt;$C$10,0,IF(AND($C$38&gt;0,A174&gt;=$C$38,EOMONTH(A174,0)&lt;=$C$39),E174*(1-$C$40)*(1-J$34),E174*(1-J$34)))+M174</f>
        <v>0</v>
      </c>
    </row>
    <row r="175" spans="1:27" x14ac:dyDescent="0.25">
      <c r="A175" s="98">
        <f>EDATE($C$8,100)</f>
        <v>3043</v>
      </c>
      <c r="B175" s="99">
        <f>EDATE($C$8,101)-1</f>
        <v>3073</v>
      </c>
      <c r="C175" s="92">
        <f t="shared" si="23"/>
        <v>101</v>
      </c>
      <c r="D175" s="100">
        <f t="shared" si="13"/>
        <v>9</v>
      </c>
      <c r="E175" s="101">
        <f t="shared" si="14"/>
        <v>0</v>
      </c>
      <c r="F175" s="94">
        <f t="shared" si="24"/>
        <v>0</v>
      </c>
      <c r="G175" s="95">
        <f t="shared" si="25"/>
        <v>0</v>
      </c>
      <c r="H175" s="94">
        <f t="shared" si="15"/>
        <v>0</v>
      </c>
      <c r="I175" s="94">
        <f t="shared" si="16"/>
        <v>0</v>
      </c>
      <c r="J175" s="94">
        <f t="shared" si="17"/>
        <v>0</v>
      </c>
      <c r="K175" s="94">
        <f t="shared" si="18"/>
        <v>0</v>
      </c>
      <c r="L175" s="94">
        <f t="shared" si="19"/>
        <v>0</v>
      </c>
      <c r="M175" s="94">
        <f t="shared" si="20"/>
        <v>0</v>
      </c>
      <c r="N175" s="101">
        <f t="shared" si="21"/>
        <v>0</v>
      </c>
      <c r="O175" s="102">
        <f t="shared" si="22"/>
        <v>0</v>
      </c>
      <c r="P175" s="101">
        <f>MAX(SUM(N175:N198)+S175,0)</f>
        <v>0</v>
      </c>
      <c r="Q175" s="101">
        <f>SUM(F175:F198)</f>
        <v>0</v>
      </c>
      <c r="R175" s="101">
        <f>SUM(M175:M198)</f>
        <v>0</v>
      </c>
      <c r="S175" s="103">
        <f>SUMPRODUCT(($C$55:$C$67)*($D$55:$D$67&gt;=$A175))</f>
        <v>0</v>
      </c>
      <c r="T175" s="150">
        <f>IF(C175&gt;$C$10,0,IF(AND($C$38&gt;0,A175&gt;=$C$38,EOMONTH(A175,0)&lt;=$C$39),E175*(1-$C$40)*(1-G$15),E175*(1-G$15)))+M175</f>
        <v>0</v>
      </c>
      <c r="U175" s="150">
        <f>IF(C175&gt;$C$10,0,IF(AND($C$38&gt;0,A175&gt;=$C$38,EOMONTH(A175,0)&lt;=$C$39),E175*(1-$C$40)*(1-H$15),E175*(1-H$15)))+M175</f>
        <v>0</v>
      </c>
      <c r="V175" s="150">
        <f>IF(C175&gt;$C$10,0,IF(AND($C$38&gt;0,A175&gt;=$C$38,EOMONTH(A175,0)&lt;=$C$39),E175*(1-$C$40)*(1-I$15),E175*(1-I$15)))+M175</f>
        <v>0</v>
      </c>
      <c r="W175" s="181">
        <f>IF(C175&gt;$C$10,0,IF(AND($C$38&gt;0,A175&gt;=$C$38,EOMONTH(A175,0)&lt;=$C$39),E175*(1-$C$40)*(1-F$34),E175*(1-F$34)))+M175</f>
        <v>0</v>
      </c>
      <c r="X175" s="179">
        <f>IF(C175&gt;$C$10,0,IF(AND($C$38&gt;0,A175&gt;=$C$38,EOMONTH(A175,0)&lt;=$C$39),E175*(1-$C$40)*(1-G$34),E175*(1-G$34)))+M175</f>
        <v>0</v>
      </c>
      <c r="Y175" s="178">
        <f>IF(C175&gt;$C$10,0,IF(AND($C$38&gt;0,A175&gt;=$C$38,EOMONTH(A175,0)&lt;=$C$39),E175*(1-$C$40)*(1-H$34),E175*(1-H$34)))+M175</f>
        <v>0</v>
      </c>
      <c r="Z175" s="179">
        <f>IF(C175&gt;$C$10,0,IF(AND($C$38&gt;0,A175&gt;=$C$38,EOMONTH(A175,0)&lt;=$C$39),E175*(1-$C$40)*(1-I$34),E175*(1-I$34)))+M175</f>
        <v>0</v>
      </c>
      <c r="AA175" s="180">
        <f>IF(C175&gt;$C$10,0,IF(AND($C$38&gt;0,A175&gt;=$C$38,EOMONTH(A175,0)&lt;=$C$39),E175*(1-$C$40)*(1-J$34),E175*(1-J$34)))+M175</f>
        <v>0</v>
      </c>
    </row>
    <row r="176" spans="1:27" x14ac:dyDescent="0.25">
      <c r="A176" s="104">
        <f>EDATE($C$8,101)</f>
        <v>3074</v>
      </c>
      <c r="B176" s="105">
        <f>EDATE($C$8,102)-1</f>
        <v>3103</v>
      </c>
      <c r="C176" s="92">
        <f t="shared" si="23"/>
        <v>102</v>
      </c>
      <c r="D176" s="106">
        <f t="shared" si="13"/>
        <v>9</v>
      </c>
      <c r="E176" s="107">
        <f t="shared" si="14"/>
        <v>0</v>
      </c>
      <c r="F176" s="94">
        <f t="shared" si="24"/>
        <v>0</v>
      </c>
      <c r="G176" s="95">
        <f t="shared" si="25"/>
        <v>0</v>
      </c>
      <c r="H176" s="94">
        <f t="shared" si="15"/>
        <v>0</v>
      </c>
      <c r="I176" s="94">
        <f t="shared" si="16"/>
        <v>0</v>
      </c>
      <c r="J176" s="94">
        <f t="shared" si="17"/>
        <v>0</v>
      </c>
      <c r="K176" s="94">
        <f t="shared" si="18"/>
        <v>0</v>
      </c>
      <c r="L176" s="94">
        <f t="shared" si="19"/>
        <v>0</v>
      </c>
      <c r="M176" s="94">
        <f t="shared" si="20"/>
        <v>0</v>
      </c>
      <c r="N176" s="107">
        <f t="shared" si="21"/>
        <v>0</v>
      </c>
      <c r="O176" s="108">
        <f t="shared" si="22"/>
        <v>0</v>
      </c>
      <c r="P176" s="107">
        <f>MAX(SUM(N176:N198)+S176,0)</f>
        <v>0</v>
      </c>
      <c r="Q176" s="107">
        <f>SUM(F176:F198)</f>
        <v>0</v>
      </c>
      <c r="R176" s="107">
        <f>SUM(M176:M198)</f>
        <v>0</v>
      </c>
      <c r="S176" s="109">
        <f>SUMPRODUCT(($C$55:$C$67)*($D$55:$D$67&gt;=$A176))</f>
        <v>0</v>
      </c>
      <c r="T176" s="150">
        <f>IF(C176&gt;$C$10,0,IF(AND($C$38&gt;0,A176&gt;=$C$38,EOMONTH(A176,0)&lt;=$C$39),E176*(1-$C$40)*(1-G$15),E176*(1-G$15)))+M176</f>
        <v>0</v>
      </c>
      <c r="U176" s="150">
        <f>IF(C176&gt;$C$10,0,IF(AND($C$38&gt;0,A176&gt;=$C$38,EOMONTH(A176,0)&lt;=$C$39),E176*(1-$C$40)*(1-H$15),E176*(1-H$15)))+M176</f>
        <v>0</v>
      </c>
      <c r="V176" s="150">
        <f>IF(C176&gt;$C$10,0,IF(AND($C$38&gt;0,A176&gt;=$C$38,EOMONTH(A176,0)&lt;=$C$39),E176*(1-$C$40)*(1-I$15),E176*(1-I$15)))+M176</f>
        <v>0</v>
      </c>
      <c r="W176" s="181">
        <f>IF(C176&gt;$C$10,0,IF(AND($C$38&gt;0,A176&gt;=$C$38,EOMONTH(A176,0)&lt;=$C$39),E176*(1-$C$40)*(1-F$34),E176*(1-F$34)))+M176</f>
        <v>0</v>
      </c>
      <c r="X176" s="179">
        <f>IF(C176&gt;$C$10,0,IF(AND($C$38&gt;0,A176&gt;=$C$38,EOMONTH(A176,0)&lt;=$C$39),E176*(1-$C$40)*(1-G$34),E176*(1-G$34)))+M176</f>
        <v>0</v>
      </c>
      <c r="Y176" s="178">
        <f>IF(C176&gt;$C$10,0,IF(AND($C$38&gt;0,A176&gt;=$C$38,EOMONTH(A176,0)&lt;=$C$39),E176*(1-$C$40)*(1-H$34),E176*(1-H$34)))+M176</f>
        <v>0</v>
      </c>
      <c r="Z176" s="179">
        <f>IF(C176&gt;$C$10,0,IF(AND($C$38&gt;0,A176&gt;=$C$38,EOMONTH(A176,0)&lt;=$C$39),E176*(1-$C$40)*(1-I$34),E176*(1-I$34)))+M176</f>
        <v>0</v>
      </c>
      <c r="AA176" s="180">
        <f>IF(C176&gt;$C$10,0,IF(AND($C$38&gt;0,A176&gt;=$C$38,EOMONTH(A176,0)&lt;=$C$39),E176*(1-$C$40)*(1-J$34),E176*(1-J$34)))+M176</f>
        <v>0</v>
      </c>
    </row>
    <row r="177" spans="1:27" x14ac:dyDescent="0.25">
      <c r="A177" s="98">
        <f>EDATE($C$8,102)</f>
        <v>3104</v>
      </c>
      <c r="B177" s="99">
        <f>EDATE($C$8,103)-1</f>
        <v>3134</v>
      </c>
      <c r="C177" s="92">
        <f t="shared" si="23"/>
        <v>103</v>
      </c>
      <c r="D177" s="100">
        <f t="shared" si="13"/>
        <v>9</v>
      </c>
      <c r="E177" s="101">
        <f t="shared" si="14"/>
        <v>0</v>
      </c>
      <c r="F177" s="94">
        <f t="shared" si="24"/>
        <v>0</v>
      </c>
      <c r="G177" s="95">
        <f t="shared" si="25"/>
        <v>0</v>
      </c>
      <c r="H177" s="94">
        <f t="shared" si="15"/>
        <v>0</v>
      </c>
      <c r="I177" s="94">
        <f t="shared" si="16"/>
        <v>0</v>
      </c>
      <c r="J177" s="94">
        <f t="shared" si="17"/>
        <v>0</v>
      </c>
      <c r="K177" s="94">
        <f t="shared" si="18"/>
        <v>0</v>
      </c>
      <c r="L177" s="94">
        <f t="shared" si="19"/>
        <v>0</v>
      </c>
      <c r="M177" s="94">
        <f t="shared" si="20"/>
        <v>0</v>
      </c>
      <c r="N177" s="101">
        <f t="shared" si="21"/>
        <v>0</v>
      </c>
      <c r="O177" s="102">
        <f t="shared" si="22"/>
        <v>0</v>
      </c>
      <c r="P177" s="101">
        <f>MAX(SUM(N177:N198)+S177,0)</f>
        <v>0</v>
      </c>
      <c r="Q177" s="101">
        <f>SUM(F177:F198)</f>
        <v>0</v>
      </c>
      <c r="R177" s="101">
        <f>SUM(M177:M198)</f>
        <v>0</v>
      </c>
      <c r="S177" s="103">
        <f>SUMPRODUCT(($C$55:$C$67)*($D$55:$D$67&gt;=$A177))</f>
        <v>0</v>
      </c>
      <c r="T177" s="150">
        <f>IF(C177&gt;$C$10,0,IF(AND($C$38&gt;0,A177&gt;=$C$38,EOMONTH(A177,0)&lt;=$C$39),E177*(1-$C$40)*(1-G$15),E177*(1-G$15)))+M177</f>
        <v>0</v>
      </c>
      <c r="U177" s="150">
        <f>IF(C177&gt;$C$10,0,IF(AND($C$38&gt;0,A177&gt;=$C$38,EOMONTH(A177,0)&lt;=$C$39),E177*(1-$C$40)*(1-H$15),E177*(1-H$15)))+M177</f>
        <v>0</v>
      </c>
      <c r="V177" s="150">
        <f>IF(C177&gt;$C$10,0,IF(AND($C$38&gt;0,A177&gt;=$C$38,EOMONTH(A177,0)&lt;=$C$39),E177*(1-$C$40)*(1-I$15),E177*(1-I$15)))+M177</f>
        <v>0</v>
      </c>
      <c r="W177" s="181">
        <f>IF(C177&gt;$C$10,0,IF(AND($C$38&gt;0,A177&gt;=$C$38,EOMONTH(A177,0)&lt;=$C$39),E177*(1-$C$40)*(1-F$34),E177*(1-F$34)))+M177</f>
        <v>0</v>
      </c>
      <c r="X177" s="179">
        <f>IF(C177&gt;$C$10,0,IF(AND($C$38&gt;0,A177&gt;=$C$38,EOMONTH(A177,0)&lt;=$C$39),E177*(1-$C$40)*(1-G$34),E177*(1-G$34)))+M177</f>
        <v>0</v>
      </c>
      <c r="Y177" s="178">
        <f>IF(C177&gt;$C$10,0,IF(AND($C$38&gt;0,A177&gt;=$C$38,EOMONTH(A177,0)&lt;=$C$39),E177*(1-$C$40)*(1-H$34),E177*(1-H$34)))+M177</f>
        <v>0</v>
      </c>
      <c r="Z177" s="179">
        <f>IF(C177&gt;$C$10,0,IF(AND($C$38&gt;0,A177&gt;=$C$38,EOMONTH(A177,0)&lt;=$C$39),E177*(1-$C$40)*(1-I$34),E177*(1-I$34)))+M177</f>
        <v>0</v>
      </c>
      <c r="AA177" s="180">
        <f>IF(C177&gt;$C$10,0,IF(AND($C$38&gt;0,A177&gt;=$C$38,EOMONTH(A177,0)&lt;=$C$39),E177*(1-$C$40)*(1-J$34),E177*(1-J$34)))+M177</f>
        <v>0</v>
      </c>
    </row>
    <row r="178" spans="1:27" x14ac:dyDescent="0.25">
      <c r="A178" s="104">
        <f>EDATE($C$8,103)</f>
        <v>3135</v>
      </c>
      <c r="B178" s="105">
        <f>EDATE($C$8,104)-1</f>
        <v>3165</v>
      </c>
      <c r="C178" s="92">
        <f t="shared" si="23"/>
        <v>104</v>
      </c>
      <c r="D178" s="106">
        <f t="shared" si="13"/>
        <v>9</v>
      </c>
      <c r="E178" s="107">
        <f t="shared" si="14"/>
        <v>0</v>
      </c>
      <c r="F178" s="94">
        <f t="shared" si="24"/>
        <v>0</v>
      </c>
      <c r="G178" s="95">
        <f t="shared" si="25"/>
        <v>0</v>
      </c>
      <c r="H178" s="94">
        <f t="shared" si="15"/>
        <v>0</v>
      </c>
      <c r="I178" s="94">
        <f t="shared" si="16"/>
        <v>0</v>
      </c>
      <c r="J178" s="94">
        <f t="shared" si="17"/>
        <v>0</v>
      </c>
      <c r="K178" s="94">
        <f t="shared" si="18"/>
        <v>0</v>
      </c>
      <c r="L178" s="94">
        <f t="shared" si="19"/>
        <v>0</v>
      </c>
      <c r="M178" s="94">
        <f t="shared" si="20"/>
        <v>0</v>
      </c>
      <c r="N178" s="107">
        <f t="shared" si="21"/>
        <v>0</v>
      </c>
      <c r="O178" s="108">
        <f t="shared" si="22"/>
        <v>0</v>
      </c>
      <c r="P178" s="107">
        <f>MAX(SUM(N178:N198)+S178,0)</f>
        <v>0</v>
      </c>
      <c r="Q178" s="107">
        <f>SUM(F178:F198)</f>
        <v>0</v>
      </c>
      <c r="R178" s="107">
        <f>SUM(M178:M198)</f>
        <v>0</v>
      </c>
      <c r="S178" s="109">
        <f>SUMPRODUCT(($C$55:$C$67)*($D$55:$D$67&gt;=$A178))</f>
        <v>0</v>
      </c>
      <c r="T178" s="150">
        <f>IF(C178&gt;$C$10,0,IF(AND($C$38&gt;0,A178&gt;=$C$38,EOMONTH(A178,0)&lt;=$C$39),E178*(1-$C$40)*(1-G$15),E178*(1-G$15)))+M178</f>
        <v>0</v>
      </c>
      <c r="U178" s="150">
        <f>IF(C178&gt;$C$10,0,IF(AND($C$38&gt;0,A178&gt;=$C$38,EOMONTH(A178,0)&lt;=$C$39),E178*(1-$C$40)*(1-H$15),E178*(1-H$15)))+M178</f>
        <v>0</v>
      </c>
      <c r="V178" s="150">
        <f>IF(C178&gt;$C$10,0,IF(AND($C$38&gt;0,A178&gt;=$C$38,EOMONTH(A178,0)&lt;=$C$39),E178*(1-$C$40)*(1-I$15),E178*(1-I$15)))+M178</f>
        <v>0</v>
      </c>
      <c r="W178" s="181">
        <f>IF(C178&gt;$C$10,0,IF(AND($C$38&gt;0,A178&gt;=$C$38,EOMONTH(A178,0)&lt;=$C$39),E178*(1-$C$40)*(1-F$34),E178*(1-F$34)))+M178</f>
        <v>0</v>
      </c>
      <c r="X178" s="179">
        <f>IF(C178&gt;$C$10,0,IF(AND($C$38&gt;0,A178&gt;=$C$38,EOMONTH(A178,0)&lt;=$C$39),E178*(1-$C$40)*(1-G$34),E178*(1-G$34)))+M178</f>
        <v>0</v>
      </c>
      <c r="Y178" s="178">
        <f>IF(C178&gt;$C$10,0,IF(AND($C$38&gt;0,A178&gt;=$C$38,EOMONTH(A178,0)&lt;=$C$39),E178*(1-$C$40)*(1-H$34),E178*(1-H$34)))+M178</f>
        <v>0</v>
      </c>
      <c r="Z178" s="179">
        <f>IF(C178&gt;$C$10,0,IF(AND($C$38&gt;0,A178&gt;=$C$38,EOMONTH(A178,0)&lt;=$C$39),E178*(1-$C$40)*(1-I$34),E178*(1-I$34)))+M178</f>
        <v>0</v>
      </c>
      <c r="AA178" s="180">
        <f>IF(C178&gt;$C$10,0,IF(AND($C$38&gt;0,A178&gt;=$C$38,EOMONTH(A178,0)&lt;=$C$39),E178*(1-$C$40)*(1-J$34),E178*(1-J$34)))+M178</f>
        <v>0</v>
      </c>
    </row>
    <row r="179" spans="1:27" x14ac:dyDescent="0.25">
      <c r="A179" s="98">
        <f>EDATE($C$8,104)</f>
        <v>3166</v>
      </c>
      <c r="B179" s="99">
        <f>EDATE($C$8,105)-1</f>
        <v>3195</v>
      </c>
      <c r="C179" s="92">
        <f t="shared" si="23"/>
        <v>105</v>
      </c>
      <c r="D179" s="100">
        <f t="shared" si="13"/>
        <v>9</v>
      </c>
      <c r="E179" s="101">
        <f t="shared" si="14"/>
        <v>0</v>
      </c>
      <c r="F179" s="94">
        <f t="shared" si="24"/>
        <v>0</v>
      </c>
      <c r="G179" s="95">
        <f t="shared" si="25"/>
        <v>0</v>
      </c>
      <c r="H179" s="94">
        <f t="shared" si="15"/>
        <v>0</v>
      </c>
      <c r="I179" s="94">
        <f t="shared" si="16"/>
        <v>0</v>
      </c>
      <c r="J179" s="94">
        <f t="shared" si="17"/>
        <v>0</v>
      </c>
      <c r="K179" s="94">
        <f t="shared" si="18"/>
        <v>0</v>
      </c>
      <c r="L179" s="94">
        <f t="shared" si="19"/>
        <v>0</v>
      </c>
      <c r="M179" s="94">
        <f t="shared" si="20"/>
        <v>0</v>
      </c>
      <c r="N179" s="101">
        <f t="shared" si="21"/>
        <v>0</v>
      </c>
      <c r="O179" s="102">
        <f t="shared" si="22"/>
        <v>0</v>
      </c>
      <c r="P179" s="101">
        <f>MAX(SUM(N179:N198)+S179,0)</f>
        <v>0</v>
      </c>
      <c r="Q179" s="101">
        <f>SUM(F179:F198)</f>
        <v>0</v>
      </c>
      <c r="R179" s="101">
        <f>SUM(M179:M198)</f>
        <v>0</v>
      </c>
      <c r="S179" s="103">
        <f>SUMPRODUCT(($C$55:$C$67)*($D$55:$D$67&gt;=$A179))</f>
        <v>0</v>
      </c>
      <c r="T179" s="150">
        <f>IF(C179&gt;$C$10,0,IF(AND($C$38&gt;0,A179&gt;=$C$38,EOMONTH(A179,0)&lt;=$C$39),E179*(1-$C$40)*(1-G$15),E179*(1-G$15)))+M179</f>
        <v>0</v>
      </c>
      <c r="U179" s="150">
        <f>IF(C179&gt;$C$10,0,IF(AND($C$38&gt;0,A179&gt;=$C$38,EOMONTH(A179,0)&lt;=$C$39),E179*(1-$C$40)*(1-H$15),E179*(1-H$15)))+M179</f>
        <v>0</v>
      </c>
      <c r="V179" s="150">
        <f>IF(C179&gt;$C$10,0,IF(AND($C$38&gt;0,A179&gt;=$C$38,EOMONTH(A179,0)&lt;=$C$39),E179*(1-$C$40)*(1-I$15),E179*(1-I$15)))+M179</f>
        <v>0</v>
      </c>
      <c r="W179" s="181">
        <f>IF(C179&gt;$C$10,0,IF(AND($C$38&gt;0,A179&gt;=$C$38,EOMONTH(A179,0)&lt;=$C$39),E179*(1-$C$40)*(1-F$34),E179*(1-F$34)))+M179</f>
        <v>0</v>
      </c>
      <c r="X179" s="179">
        <f>IF(C179&gt;$C$10,0,IF(AND($C$38&gt;0,A179&gt;=$C$38,EOMONTH(A179,0)&lt;=$C$39),E179*(1-$C$40)*(1-G$34),E179*(1-G$34)))+M179</f>
        <v>0</v>
      </c>
      <c r="Y179" s="178">
        <f>IF(C179&gt;$C$10,0,IF(AND($C$38&gt;0,A179&gt;=$C$38,EOMONTH(A179,0)&lt;=$C$39),E179*(1-$C$40)*(1-H$34),E179*(1-H$34)))+M179</f>
        <v>0</v>
      </c>
      <c r="Z179" s="179">
        <f>IF(C179&gt;$C$10,0,IF(AND($C$38&gt;0,A179&gt;=$C$38,EOMONTH(A179,0)&lt;=$C$39),E179*(1-$C$40)*(1-I$34),E179*(1-I$34)))+M179</f>
        <v>0</v>
      </c>
      <c r="AA179" s="180">
        <f>IF(C179&gt;$C$10,0,IF(AND($C$38&gt;0,A179&gt;=$C$38,EOMONTH(A179,0)&lt;=$C$39),E179*(1-$C$40)*(1-J$34),E179*(1-J$34)))+M179</f>
        <v>0</v>
      </c>
    </row>
    <row r="180" spans="1:27" x14ac:dyDescent="0.25">
      <c r="A180" s="104">
        <f>EDATE($C$8,105)</f>
        <v>3196</v>
      </c>
      <c r="B180" s="105">
        <f>EDATE($C$8,106)-1</f>
        <v>3226</v>
      </c>
      <c r="C180" s="92">
        <f t="shared" si="23"/>
        <v>106</v>
      </c>
      <c r="D180" s="106">
        <f t="shared" si="13"/>
        <v>9</v>
      </c>
      <c r="E180" s="107">
        <f t="shared" si="14"/>
        <v>0</v>
      </c>
      <c r="F180" s="94">
        <f t="shared" si="24"/>
        <v>0</v>
      </c>
      <c r="G180" s="95">
        <f t="shared" si="25"/>
        <v>0</v>
      </c>
      <c r="H180" s="94">
        <f t="shared" si="15"/>
        <v>0</v>
      </c>
      <c r="I180" s="94">
        <f t="shared" si="16"/>
        <v>0</v>
      </c>
      <c r="J180" s="94">
        <f t="shared" si="17"/>
        <v>0</v>
      </c>
      <c r="K180" s="94">
        <f t="shared" si="18"/>
        <v>0</v>
      </c>
      <c r="L180" s="94">
        <f t="shared" si="19"/>
        <v>0</v>
      </c>
      <c r="M180" s="94">
        <f t="shared" si="20"/>
        <v>0</v>
      </c>
      <c r="N180" s="107">
        <f t="shared" si="21"/>
        <v>0</v>
      </c>
      <c r="O180" s="108">
        <f t="shared" si="22"/>
        <v>0</v>
      </c>
      <c r="P180" s="107">
        <f>MAX(SUM(N180:N198)+S180,0)</f>
        <v>0</v>
      </c>
      <c r="Q180" s="107">
        <f>SUM(F180:F198)</f>
        <v>0</v>
      </c>
      <c r="R180" s="107">
        <f>SUM(M180:M198)</f>
        <v>0</v>
      </c>
      <c r="S180" s="109">
        <f>SUMPRODUCT(($C$55:$C$67)*($D$55:$D$67&gt;=$A180))</f>
        <v>0</v>
      </c>
      <c r="T180" s="150">
        <f>IF(C180&gt;$C$10,0,IF(AND($C$38&gt;0,A180&gt;=$C$38,EOMONTH(A180,0)&lt;=$C$39),E180*(1-$C$40)*(1-G$15),E180*(1-G$15)))+M180</f>
        <v>0</v>
      </c>
      <c r="U180" s="150">
        <f>IF(C180&gt;$C$10,0,IF(AND($C$38&gt;0,A180&gt;=$C$38,EOMONTH(A180,0)&lt;=$C$39),E180*(1-$C$40)*(1-H$15),E180*(1-H$15)))+M180</f>
        <v>0</v>
      </c>
      <c r="V180" s="150">
        <f>IF(C180&gt;$C$10,0,IF(AND($C$38&gt;0,A180&gt;=$C$38,EOMONTH(A180,0)&lt;=$C$39),E180*(1-$C$40)*(1-I$15),E180*(1-I$15)))+M180</f>
        <v>0</v>
      </c>
      <c r="W180" s="181">
        <f>IF(C180&gt;$C$10,0,IF(AND($C$38&gt;0,A180&gt;=$C$38,EOMONTH(A180,0)&lt;=$C$39),E180*(1-$C$40)*(1-F$34),E180*(1-F$34)))+M180</f>
        <v>0</v>
      </c>
      <c r="X180" s="179">
        <f>IF(C180&gt;$C$10,0,IF(AND($C$38&gt;0,A180&gt;=$C$38,EOMONTH(A180,0)&lt;=$C$39),E180*(1-$C$40)*(1-G$34),E180*(1-G$34)))+M180</f>
        <v>0</v>
      </c>
      <c r="Y180" s="178">
        <f>IF(C180&gt;$C$10,0,IF(AND($C$38&gt;0,A180&gt;=$C$38,EOMONTH(A180,0)&lt;=$C$39),E180*(1-$C$40)*(1-H$34),E180*(1-H$34)))+M180</f>
        <v>0</v>
      </c>
      <c r="Z180" s="179">
        <f>IF(C180&gt;$C$10,0,IF(AND($C$38&gt;0,A180&gt;=$C$38,EOMONTH(A180,0)&lt;=$C$39),E180*(1-$C$40)*(1-I$34),E180*(1-I$34)))+M180</f>
        <v>0</v>
      </c>
      <c r="AA180" s="180">
        <f>IF(C180&gt;$C$10,0,IF(AND($C$38&gt;0,A180&gt;=$C$38,EOMONTH(A180,0)&lt;=$C$39),E180*(1-$C$40)*(1-J$34),E180*(1-J$34)))+M180</f>
        <v>0</v>
      </c>
    </row>
    <row r="181" spans="1:27" x14ac:dyDescent="0.25">
      <c r="A181" s="98">
        <f>EDATE($C$8,106)</f>
        <v>3227</v>
      </c>
      <c r="B181" s="99">
        <f>EDATE($C$8,107)-1</f>
        <v>3256</v>
      </c>
      <c r="C181" s="92">
        <f t="shared" si="23"/>
        <v>107</v>
      </c>
      <c r="D181" s="100">
        <f t="shared" si="13"/>
        <v>9</v>
      </c>
      <c r="E181" s="101">
        <f t="shared" si="14"/>
        <v>0</v>
      </c>
      <c r="F181" s="94">
        <f t="shared" si="24"/>
        <v>0</v>
      </c>
      <c r="G181" s="95">
        <f t="shared" si="25"/>
        <v>0</v>
      </c>
      <c r="H181" s="94">
        <f t="shared" si="15"/>
        <v>0</v>
      </c>
      <c r="I181" s="94">
        <f t="shared" si="16"/>
        <v>0</v>
      </c>
      <c r="J181" s="94">
        <f t="shared" si="17"/>
        <v>0</v>
      </c>
      <c r="K181" s="94">
        <f t="shared" si="18"/>
        <v>0</v>
      </c>
      <c r="L181" s="94">
        <f t="shared" si="19"/>
        <v>0</v>
      </c>
      <c r="M181" s="94">
        <f t="shared" si="20"/>
        <v>0</v>
      </c>
      <c r="N181" s="101">
        <f t="shared" si="21"/>
        <v>0</v>
      </c>
      <c r="O181" s="102">
        <f t="shared" si="22"/>
        <v>0</v>
      </c>
      <c r="P181" s="101">
        <f>MAX(SUM(N181:N198)+S181,0)</f>
        <v>0</v>
      </c>
      <c r="Q181" s="101">
        <f>SUM(F181:F198)</f>
        <v>0</v>
      </c>
      <c r="R181" s="101">
        <f>SUM(M181:M198)</f>
        <v>0</v>
      </c>
      <c r="S181" s="103">
        <f>SUMPRODUCT(($C$55:$C$67)*($D$55:$D$67&gt;=$A181))</f>
        <v>0</v>
      </c>
      <c r="T181" s="150">
        <f>IF(C181&gt;$C$10,0,IF(AND($C$38&gt;0,A181&gt;=$C$38,EOMONTH(A181,0)&lt;=$C$39),E181*(1-$C$40)*(1-G$15),E181*(1-G$15)))+M181</f>
        <v>0</v>
      </c>
      <c r="U181" s="150">
        <f>IF(C181&gt;$C$10,0,IF(AND($C$38&gt;0,A181&gt;=$C$38,EOMONTH(A181,0)&lt;=$C$39),E181*(1-$C$40)*(1-H$15),E181*(1-H$15)))+M181</f>
        <v>0</v>
      </c>
      <c r="V181" s="150">
        <f>IF(C181&gt;$C$10,0,IF(AND($C$38&gt;0,A181&gt;=$C$38,EOMONTH(A181,0)&lt;=$C$39),E181*(1-$C$40)*(1-I$15),E181*(1-I$15)))+M181</f>
        <v>0</v>
      </c>
      <c r="W181" s="181">
        <f>IF(C181&gt;$C$10,0,IF(AND($C$38&gt;0,A181&gt;=$C$38,EOMONTH(A181,0)&lt;=$C$39),E181*(1-$C$40)*(1-F$34),E181*(1-F$34)))+M181</f>
        <v>0</v>
      </c>
      <c r="X181" s="179">
        <f>IF(C181&gt;$C$10,0,IF(AND($C$38&gt;0,A181&gt;=$C$38,EOMONTH(A181,0)&lt;=$C$39),E181*(1-$C$40)*(1-G$34),E181*(1-G$34)))+M181</f>
        <v>0</v>
      </c>
      <c r="Y181" s="178">
        <f>IF(C181&gt;$C$10,0,IF(AND($C$38&gt;0,A181&gt;=$C$38,EOMONTH(A181,0)&lt;=$C$39),E181*(1-$C$40)*(1-H$34),E181*(1-H$34)))+M181</f>
        <v>0</v>
      </c>
      <c r="Z181" s="179">
        <f>IF(C181&gt;$C$10,0,IF(AND($C$38&gt;0,A181&gt;=$C$38,EOMONTH(A181,0)&lt;=$C$39),E181*(1-$C$40)*(1-I$34),E181*(1-I$34)))+M181</f>
        <v>0</v>
      </c>
      <c r="AA181" s="180">
        <f>IF(C181&gt;$C$10,0,IF(AND($C$38&gt;0,A181&gt;=$C$38,EOMONTH(A181,0)&lt;=$C$39),E181*(1-$C$40)*(1-J$34),E181*(1-J$34)))+M181</f>
        <v>0</v>
      </c>
    </row>
    <row r="182" spans="1:27" x14ac:dyDescent="0.25">
      <c r="A182" s="104">
        <f>EDATE($C$8,107)</f>
        <v>3257</v>
      </c>
      <c r="B182" s="105">
        <f>EDATE($C$8,108)-1</f>
        <v>3287</v>
      </c>
      <c r="C182" s="92">
        <f t="shared" si="23"/>
        <v>108</v>
      </c>
      <c r="D182" s="106">
        <f t="shared" si="13"/>
        <v>9</v>
      </c>
      <c r="E182" s="107">
        <f t="shared" si="14"/>
        <v>0</v>
      </c>
      <c r="F182" s="94">
        <f t="shared" si="24"/>
        <v>0</v>
      </c>
      <c r="G182" s="95">
        <f t="shared" si="25"/>
        <v>0</v>
      </c>
      <c r="H182" s="94">
        <f t="shared" si="15"/>
        <v>0</v>
      </c>
      <c r="I182" s="94">
        <f t="shared" si="16"/>
        <v>0</v>
      </c>
      <c r="J182" s="94">
        <f t="shared" si="17"/>
        <v>0</v>
      </c>
      <c r="K182" s="94">
        <f t="shared" si="18"/>
        <v>0</v>
      </c>
      <c r="L182" s="94">
        <f t="shared" si="19"/>
        <v>0</v>
      </c>
      <c r="M182" s="94">
        <f t="shared" si="20"/>
        <v>0</v>
      </c>
      <c r="N182" s="107">
        <f t="shared" si="21"/>
        <v>0</v>
      </c>
      <c r="O182" s="108">
        <f t="shared" si="22"/>
        <v>0</v>
      </c>
      <c r="P182" s="107">
        <f>MAX(SUM(N182:N198)+S182,0)</f>
        <v>0</v>
      </c>
      <c r="Q182" s="107">
        <f>SUM(F182:F198)</f>
        <v>0</v>
      </c>
      <c r="R182" s="107">
        <f>SUM(M182:M198)</f>
        <v>0</v>
      </c>
      <c r="S182" s="109">
        <f>SUMPRODUCT(($C$55:$C$67)*($D$55:$D$67&gt;=$A182))</f>
        <v>0</v>
      </c>
      <c r="T182" s="150">
        <f>IF(C182&gt;$C$10,0,IF(AND($C$38&gt;0,A182&gt;=$C$38,EOMONTH(A182,0)&lt;=$C$39),E182*(1-$C$40)*(1-G$15),E182*(1-G$15)))+M182</f>
        <v>0</v>
      </c>
      <c r="U182" s="150">
        <f>IF(C182&gt;$C$10,0,IF(AND($C$38&gt;0,A182&gt;=$C$38,EOMONTH(A182,0)&lt;=$C$39),E182*(1-$C$40)*(1-H$15),E182*(1-H$15)))+M182</f>
        <v>0</v>
      </c>
      <c r="V182" s="150">
        <f>IF(C182&gt;$C$10,0,IF(AND($C$38&gt;0,A182&gt;=$C$38,EOMONTH(A182,0)&lt;=$C$39),E182*(1-$C$40)*(1-I$15),E182*(1-I$15)))+M182</f>
        <v>0</v>
      </c>
      <c r="W182" s="181">
        <f>IF(C182&gt;$C$10,0,IF(AND($C$38&gt;0,A182&gt;=$C$38,EOMONTH(A182,0)&lt;=$C$39),E182*(1-$C$40)*(1-F$34),E182*(1-F$34)))+M182</f>
        <v>0</v>
      </c>
      <c r="X182" s="179">
        <f>IF(C182&gt;$C$10,0,IF(AND($C$38&gt;0,A182&gt;=$C$38,EOMONTH(A182,0)&lt;=$C$39),E182*(1-$C$40)*(1-G$34),E182*(1-G$34)))+M182</f>
        <v>0</v>
      </c>
      <c r="Y182" s="178">
        <f>IF(C182&gt;$C$10,0,IF(AND($C$38&gt;0,A182&gt;=$C$38,EOMONTH(A182,0)&lt;=$C$39),E182*(1-$C$40)*(1-H$34),E182*(1-H$34)))+M182</f>
        <v>0</v>
      </c>
      <c r="Z182" s="179">
        <f>IF(C182&gt;$C$10,0,IF(AND($C$38&gt;0,A182&gt;=$C$38,EOMONTH(A182,0)&lt;=$C$39),E182*(1-$C$40)*(1-I$34),E182*(1-I$34)))+M182</f>
        <v>0</v>
      </c>
      <c r="AA182" s="180">
        <f>IF(C182&gt;$C$10,0,IF(AND($C$38&gt;0,A182&gt;=$C$38,EOMONTH(A182,0)&lt;=$C$39),E182*(1-$C$40)*(1-J$34),E182*(1-J$34)))+M182</f>
        <v>0</v>
      </c>
    </row>
    <row r="183" spans="1:27" x14ac:dyDescent="0.25">
      <c r="A183" s="98">
        <f>EDATE($C$8,108)</f>
        <v>3288</v>
      </c>
      <c r="B183" s="99">
        <f>EDATE($C$8,109)-1</f>
        <v>3318</v>
      </c>
      <c r="C183" s="92">
        <f t="shared" si="23"/>
        <v>109</v>
      </c>
      <c r="D183" s="100">
        <f t="shared" si="13"/>
        <v>10</v>
      </c>
      <c r="E183" s="101">
        <f t="shared" si="14"/>
        <v>0</v>
      </c>
      <c r="F183" s="94">
        <f t="shared" si="24"/>
        <v>0</v>
      </c>
      <c r="G183" s="95">
        <f t="shared" si="25"/>
        <v>0</v>
      </c>
      <c r="H183" s="94">
        <f t="shared" si="15"/>
        <v>0</v>
      </c>
      <c r="I183" s="94">
        <f t="shared" si="16"/>
        <v>0</v>
      </c>
      <c r="J183" s="94">
        <f t="shared" si="17"/>
        <v>0</v>
      </c>
      <c r="K183" s="94">
        <f t="shared" si="18"/>
        <v>0</v>
      </c>
      <c r="L183" s="94">
        <f t="shared" si="19"/>
        <v>0</v>
      </c>
      <c r="M183" s="94">
        <f t="shared" si="20"/>
        <v>0</v>
      </c>
      <c r="N183" s="101">
        <f t="shared" si="21"/>
        <v>0</v>
      </c>
      <c r="O183" s="102">
        <f t="shared" si="22"/>
        <v>0</v>
      </c>
      <c r="P183" s="101">
        <f>MAX(SUM(N183:N198)+S183,0)</f>
        <v>0</v>
      </c>
      <c r="Q183" s="101">
        <f>SUM(F183:F198)</f>
        <v>0</v>
      </c>
      <c r="R183" s="101">
        <f>SUM(M183:M198)</f>
        <v>0</v>
      </c>
      <c r="S183" s="103">
        <f>SUMPRODUCT(($C$55:$C$67)*($D$55:$D$67&gt;=$A183))</f>
        <v>0</v>
      </c>
      <c r="T183" s="150">
        <f>IF(C183&gt;$C$10,0,IF(AND($C$38&gt;0,A183&gt;=$C$38,EOMONTH(A183,0)&lt;=$C$39),E183*(1-$C$40)*(1-G$15),E183*(1-G$15)))+M183</f>
        <v>0</v>
      </c>
      <c r="U183" s="150">
        <f>IF(C183&gt;$C$10,0,IF(AND($C$38&gt;0,A183&gt;=$C$38,EOMONTH(A183,0)&lt;=$C$39),E183*(1-$C$40)*(1-H$15),E183*(1-H$15)))+M183</f>
        <v>0</v>
      </c>
      <c r="V183" s="150">
        <f>IF(C183&gt;$C$10,0,IF(AND($C$38&gt;0,A183&gt;=$C$38,EOMONTH(A183,0)&lt;=$C$39),E183*(1-$C$40)*(1-I$15),E183*(1-I$15)))+M183</f>
        <v>0</v>
      </c>
      <c r="W183" s="181">
        <f>IF(C183&gt;$C$10,0,IF(AND($C$38&gt;0,A183&gt;=$C$38,EOMONTH(A183,0)&lt;=$C$39),E183*(1-$C$40)*(1-F$34),E183*(1-F$34)))+M183</f>
        <v>0</v>
      </c>
      <c r="X183" s="179">
        <f>IF(C183&gt;$C$10,0,IF(AND($C$38&gt;0,A183&gt;=$C$38,EOMONTH(A183,0)&lt;=$C$39),E183*(1-$C$40)*(1-G$34),E183*(1-G$34)))+M183</f>
        <v>0</v>
      </c>
      <c r="Y183" s="178">
        <f>IF(C183&gt;$C$10,0,IF(AND($C$38&gt;0,A183&gt;=$C$38,EOMONTH(A183,0)&lt;=$C$39),E183*(1-$C$40)*(1-H$34),E183*(1-H$34)))+M183</f>
        <v>0</v>
      </c>
      <c r="Z183" s="179">
        <f>IF(C183&gt;$C$10,0,IF(AND($C$38&gt;0,A183&gt;=$C$38,EOMONTH(A183,0)&lt;=$C$39),E183*(1-$C$40)*(1-I$34),E183*(1-I$34)))+M183</f>
        <v>0</v>
      </c>
      <c r="AA183" s="180">
        <f>IF(C183&gt;$C$10,0,IF(AND($C$38&gt;0,A183&gt;=$C$38,EOMONTH(A183,0)&lt;=$C$39),E183*(1-$C$40)*(1-J$34),E183*(1-J$34)))+M183</f>
        <v>0</v>
      </c>
    </row>
    <row r="184" spans="1:27" x14ac:dyDescent="0.25">
      <c r="A184" s="104">
        <f>EDATE($C$8,109)</f>
        <v>3319</v>
      </c>
      <c r="B184" s="105">
        <f>EDATE($C$8,110)-1</f>
        <v>3346</v>
      </c>
      <c r="C184" s="92">
        <f t="shared" si="23"/>
        <v>110</v>
      </c>
      <c r="D184" s="106">
        <f t="shared" si="13"/>
        <v>10</v>
      </c>
      <c r="E184" s="107">
        <f t="shared" si="14"/>
        <v>0</v>
      </c>
      <c r="F184" s="94">
        <f t="shared" si="24"/>
        <v>0</v>
      </c>
      <c r="G184" s="95">
        <f t="shared" si="25"/>
        <v>0</v>
      </c>
      <c r="H184" s="94">
        <f t="shared" si="15"/>
        <v>0</v>
      </c>
      <c r="I184" s="94">
        <f t="shared" si="16"/>
        <v>0</v>
      </c>
      <c r="J184" s="94">
        <f t="shared" si="17"/>
        <v>0</v>
      </c>
      <c r="K184" s="94">
        <f t="shared" si="18"/>
        <v>0</v>
      </c>
      <c r="L184" s="94">
        <f t="shared" si="19"/>
        <v>0</v>
      </c>
      <c r="M184" s="94">
        <f t="shared" si="20"/>
        <v>0</v>
      </c>
      <c r="N184" s="107">
        <f t="shared" si="21"/>
        <v>0</v>
      </c>
      <c r="O184" s="108">
        <f t="shared" si="22"/>
        <v>0</v>
      </c>
      <c r="P184" s="107">
        <f>MAX(SUM(N184:N198)+S184,0)</f>
        <v>0</v>
      </c>
      <c r="Q184" s="107">
        <f>SUM(F184:F198)</f>
        <v>0</v>
      </c>
      <c r="R184" s="107">
        <f>SUM(M184:M198)</f>
        <v>0</v>
      </c>
      <c r="S184" s="109">
        <f>SUMPRODUCT(($C$55:$C$67)*($D$55:$D$67&gt;=$A184))</f>
        <v>0</v>
      </c>
      <c r="T184" s="150">
        <f>IF(C184&gt;$C$10,0,IF(AND($C$38&gt;0,A184&gt;=$C$38,EOMONTH(A184,0)&lt;=$C$39),E184*(1-$C$40)*(1-G$15),E184*(1-G$15)))+M184</f>
        <v>0</v>
      </c>
      <c r="U184" s="150">
        <f>IF(C184&gt;$C$10,0,IF(AND($C$38&gt;0,A184&gt;=$C$38,EOMONTH(A184,0)&lt;=$C$39),E184*(1-$C$40)*(1-H$15),E184*(1-H$15)))+M184</f>
        <v>0</v>
      </c>
      <c r="V184" s="150">
        <f>IF(C184&gt;$C$10,0,IF(AND($C$38&gt;0,A184&gt;=$C$38,EOMONTH(A184,0)&lt;=$C$39),E184*(1-$C$40)*(1-I$15),E184*(1-I$15)))+M184</f>
        <v>0</v>
      </c>
      <c r="W184" s="181">
        <f>IF(C184&gt;$C$10,0,IF(AND($C$38&gt;0,A184&gt;=$C$38,EOMONTH(A184,0)&lt;=$C$39),E184*(1-$C$40)*(1-F$34),E184*(1-F$34)))+M184</f>
        <v>0</v>
      </c>
      <c r="X184" s="179">
        <f>IF(C184&gt;$C$10,0,IF(AND($C$38&gt;0,A184&gt;=$C$38,EOMONTH(A184,0)&lt;=$C$39),E184*(1-$C$40)*(1-G$34),E184*(1-G$34)))+M184</f>
        <v>0</v>
      </c>
      <c r="Y184" s="178">
        <f>IF(C184&gt;$C$10,0,IF(AND($C$38&gt;0,A184&gt;=$C$38,EOMONTH(A184,0)&lt;=$C$39),E184*(1-$C$40)*(1-H$34),E184*(1-H$34)))+M184</f>
        <v>0</v>
      </c>
      <c r="Z184" s="179">
        <f>IF(C184&gt;$C$10,0,IF(AND($C$38&gt;0,A184&gt;=$C$38,EOMONTH(A184,0)&lt;=$C$39),E184*(1-$C$40)*(1-I$34),E184*(1-I$34)))+M184</f>
        <v>0</v>
      </c>
      <c r="AA184" s="180">
        <f>IF(C184&gt;$C$10,0,IF(AND($C$38&gt;0,A184&gt;=$C$38,EOMONTH(A184,0)&lt;=$C$39),E184*(1-$C$40)*(1-J$34),E184*(1-J$34)))+M184</f>
        <v>0</v>
      </c>
    </row>
    <row r="185" spans="1:27" x14ac:dyDescent="0.25">
      <c r="A185" s="98">
        <f>EDATE($C$8,110)</f>
        <v>3347</v>
      </c>
      <c r="B185" s="99">
        <f>EDATE($C$8,111)-1</f>
        <v>3377</v>
      </c>
      <c r="C185" s="92">
        <f t="shared" si="23"/>
        <v>111</v>
      </c>
      <c r="D185" s="100">
        <f t="shared" si="13"/>
        <v>10</v>
      </c>
      <c r="E185" s="101">
        <f t="shared" si="14"/>
        <v>0</v>
      </c>
      <c r="F185" s="94">
        <f t="shared" si="24"/>
        <v>0</v>
      </c>
      <c r="G185" s="95">
        <f t="shared" si="25"/>
        <v>0</v>
      </c>
      <c r="H185" s="94">
        <f t="shared" si="15"/>
        <v>0</v>
      </c>
      <c r="I185" s="94">
        <f t="shared" si="16"/>
        <v>0</v>
      </c>
      <c r="J185" s="94">
        <f t="shared" si="17"/>
        <v>0</v>
      </c>
      <c r="K185" s="94">
        <f t="shared" si="18"/>
        <v>0</v>
      </c>
      <c r="L185" s="94">
        <f t="shared" si="19"/>
        <v>0</v>
      </c>
      <c r="M185" s="94">
        <f t="shared" si="20"/>
        <v>0</v>
      </c>
      <c r="N185" s="101">
        <f t="shared" si="21"/>
        <v>0</v>
      </c>
      <c r="O185" s="102">
        <f t="shared" si="22"/>
        <v>0</v>
      </c>
      <c r="P185" s="101">
        <f>MAX(SUM(N185:N198)+S185,0)</f>
        <v>0</v>
      </c>
      <c r="Q185" s="101">
        <f>SUM(F185:F198)</f>
        <v>0</v>
      </c>
      <c r="R185" s="101">
        <f>SUM(M185:M198)</f>
        <v>0</v>
      </c>
      <c r="S185" s="103">
        <f>SUMPRODUCT(($C$55:$C$67)*($D$55:$D$67&gt;=$A185))</f>
        <v>0</v>
      </c>
      <c r="T185" s="150">
        <f>IF(C185&gt;$C$10,0,IF(AND($C$38&gt;0,A185&gt;=$C$38,EOMONTH(A185,0)&lt;=$C$39),E185*(1-$C$40)*(1-G$15),E185*(1-G$15)))+M185</f>
        <v>0</v>
      </c>
      <c r="U185" s="150">
        <f>IF(C185&gt;$C$10,0,IF(AND($C$38&gt;0,A185&gt;=$C$38,EOMONTH(A185,0)&lt;=$C$39),E185*(1-$C$40)*(1-H$15),E185*(1-H$15)))+M185</f>
        <v>0</v>
      </c>
      <c r="V185" s="150">
        <f>IF(C185&gt;$C$10,0,IF(AND($C$38&gt;0,A185&gt;=$C$38,EOMONTH(A185,0)&lt;=$C$39),E185*(1-$C$40)*(1-I$15),E185*(1-I$15)))+M185</f>
        <v>0</v>
      </c>
      <c r="W185" s="181">
        <f>IF(C185&gt;$C$10,0,IF(AND($C$38&gt;0,A185&gt;=$C$38,EOMONTH(A185,0)&lt;=$C$39),E185*(1-$C$40)*(1-F$34),E185*(1-F$34)))+M185</f>
        <v>0</v>
      </c>
      <c r="X185" s="179">
        <f>IF(C185&gt;$C$10,0,IF(AND($C$38&gt;0,A185&gt;=$C$38,EOMONTH(A185,0)&lt;=$C$39),E185*(1-$C$40)*(1-G$34),E185*(1-G$34)))+M185</f>
        <v>0</v>
      </c>
      <c r="Y185" s="178">
        <f>IF(C185&gt;$C$10,0,IF(AND($C$38&gt;0,A185&gt;=$C$38,EOMONTH(A185,0)&lt;=$C$39),E185*(1-$C$40)*(1-H$34),E185*(1-H$34)))+M185</f>
        <v>0</v>
      </c>
      <c r="Z185" s="179">
        <f>IF(C185&gt;$C$10,0,IF(AND($C$38&gt;0,A185&gt;=$C$38,EOMONTH(A185,0)&lt;=$C$39),E185*(1-$C$40)*(1-I$34),E185*(1-I$34)))+M185</f>
        <v>0</v>
      </c>
      <c r="AA185" s="180">
        <f>IF(C185&gt;$C$10,0,IF(AND($C$38&gt;0,A185&gt;=$C$38,EOMONTH(A185,0)&lt;=$C$39),E185*(1-$C$40)*(1-J$34),E185*(1-J$34)))+M185</f>
        <v>0</v>
      </c>
    </row>
    <row r="186" spans="1:27" x14ac:dyDescent="0.25">
      <c r="A186" s="104">
        <f>EDATE($C$8,111)</f>
        <v>3378</v>
      </c>
      <c r="B186" s="105">
        <f>EDATE($C$8,112)-1</f>
        <v>3407</v>
      </c>
      <c r="C186" s="92">
        <f t="shared" si="23"/>
        <v>112</v>
      </c>
      <c r="D186" s="106">
        <f t="shared" si="13"/>
        <v>10</v>
      </c>
      <c r="E186" s="107">
        <f t="shared" si="14"/>
        <v>0</v>
      </c>
      <c r="F186" s="94">
        <f t="shared" si="24"/>
        <v>0</v>
      </c>
      <c r="G186" s="95">
        <f t="shared" si="25"/>
        <v>0</v>
      </c>
      <c r="H186" s="94">
        <f t="shared" si="15"/>
        <v>0</v>
      </c>
      <c r="I186" s="94">
        <f t="shared" si="16"/>
        <v>0</v>
      </c>
      <c r="J186" s="94">
        <f t="shared" si="17"/>
        <v>0</v>
      </c>
      <c r="K186" s="94">
        <f t="shared" si="18"/>
        <v>0</v>
      </c>
      <c r="L186" s="94">
        <f t="shared" si="19"/>
        <v>0</v>
      </c>
      <c r="M186" s="94">
        <f t="shared" si="20"/>
        <v>0</v>
      </c>
      <c r="N186" s="107">
        <f t="shared" si="21"/>
        <v>0</v>
      </c>
      <c r="O186" s="108">
        <f t="shared" si="22"/>
        <v>0</v>
      </c>
      <c r="P186" s="107">
        <f>MAX(SUM(N186:N198)+S186,0)</f>
        <v>0</v>
      </c>
      <c r="Q186" s="107">
        <f>SUM(F186:F198)</f>
        <v>0</v>
      </c>
      <c r="R186" s="107">
        <f>SUM(M186:M198)</f>
        <v>0</v>
      </c>
      <c r="S186" s="109">
        <f>SUMPRODUCT(($C$55:$C$67)*($D$55:$D$67&gt;=$A186))</f>
        <v>0</v>
      </c>
      <c r="T186" s="150">
        <f>IF(C186&gt;$C$10,0,IF(AND($C$38&gt;0,A186&gt;=$C$38,EOMONTH(A186,0)&lt;=$C$39),E186*(1-$C$40)*(1-G$15),E186*(1-G$15)))+M186</f>
        <v>0</v>
      </c>
      <c r="U186" s="150">
        <f>IF(C186&gt;$C$10,0,IF(AND($C$38&gt;0,A186&gt;=$C$38,EOMONTH(A186,0)&lt;=$C$39),E186*(1-$C$40)*(1-H$15),E186*(1-H$15)))+M186</f>
        <v>0</v>
      </c>
      <c r="V186" s="150">
        <f>IF(C186&gt;$C$10,0,IF(AND($C$38&gt;0,A186&gt;=$C$38,EOMONTH(A186,0)&lt;=$C$39),E186*(1-$C$40)*(1-I$15),E186*(1-I$15)))+M186</f>
        <v>0</v>
      </c>
      <c r="W186" s="181">
        <f>IF(C186&gt;$C$10,0,IF(AND($C$38&gt;0,A186&gt;=$C$38,EOMONTH(A186,0)&lt;=$C$39),E186*(1-$C$40)*(1-F$34),E186*(1-F$34)))+M186</f>
        <v>0</v>
      </c>
      <c r="X186" s="179">
        <f>IF(C186&gt;$C$10,0,IF(AND($C$38&gt;0,A186&gt;=$C$38,EOMONTH(A186,0)&lt;=$C$39),E186*(1-$C$40)*(1-G$34),E186*(1-G$34)))+M186</f>
        <v>0</v>
      </c>
      <c r="Y186" s="178">
        <f>IF(C186&gt;$C$10,0,IF(AND($C$38&gt;0,A186&gt;=$C$38,EOMONTH(A186,0)&lt;=$C$39),E186*(1-$C$40)*(1-H$34),E186*(1-H$34)))+M186</f>
        <v>0</v>
      </c>
      <c r="Z186" s="179">
        <f>IF(C186&gt;$C$10,0,IF(AND($C$38&gt;0,A186&gt;=$C$38,EOMONTH(A186,0)&lt;=$C$39),E186*(1-$C$40)*(1-I$34),E186*(1-I$34)))+M186</f>
        <v>0</v>
      </c>
      <c r="AA186" s="180">
        <f>IF(C186&gt;$C$10,0,IF(AND($C$38&gt;0,A186&gt;=$C$38,EOMONTH(A186,0)&lt;=$C$39),E186*(1-$C$40)*(1-J$34),E186*(1-J$34)))+M186</f>
        <v>0</v>
      </c>
    </row>
    <row r="187" spans="1:27" x14ac:dyDescent="0.25">
      <c r="A187" s="98">
        <f>EDATE($C$8,112)</f>
        <v>3408</v>
      </c>
      <c r="B187" s="99">
        <f>EDATE($C$8,113)-1</f>
        <v>3438</v>
      </c>
      <c r="C187" s="92">
        <f t="shared" si="23"/>
        <v>113</v>
      </c>
      <c r="D187" s="100">
        <f t="shared" si="13"/>
        <v>10</v>
      </c>
      <c r="E187" s="101">
        <f t="shared" si="14"/>
        <v>0</v>
      </c>
      <c r="F187" s="94">
        <f t="shared" si="24"/>
        <v>0</v>
      </c>
      <c r="G187" s="95">
        <f t="shared" si="25"/>
        <v>0</v>
      </c>
      <c r="H187" s="94">
        <f t="shared" si="15"/>
        <v>0</v>
      </c>
      <c r="I187" s="94">
        <f t="shared" si="16"/>
        <v>0</v>
      </c>
      <c r="J187" s="94">
        <f t="shared" si="17"/>
        <v>0</v>
      </c>
      <c r="K187" s="94">
        <f t="shared" si="18"/>
        <v>0</v>
      </c>
      <c r="L187" s="94">
        <f t="shared" si="19"/>
        <v>0</v>
      </c>
      <c r="M187" s="94">
        <f t="shared" si="20"/>
        <v>0</v>
      </c>
      <c r="N187" s="101">
        <f t="shared" si="21"/>
        <v>0</v>
      </c>
      <c r="O187" s="102">
        <f t="shared" si="22"/>
        <v>0</v>
      </c>
      <c r="P187" s="101">
        <f>MAX(SUM(N187:N198)+S187,0)</f>
        <v>0</v>
      </c>
      <c r="Q187" s="101">
        <f>SUM(F187:F198)</f>
        <v>0</v>
      </c>
      <c r="R187" s="101">
        <f>SUM(M187:M198)</f>
        <v>0</v>
      </c>
      <c r="S187" s="103">
        <f>SUMPRODUCT(($C$55:$C$67)*($D$55:$D$67&gt;=$A187))</f>
        <v>0</v>
      </c>
      <c r="T187" s="150">
        <f>IF(C187&gt;$C$10,0,IF(AND($C$38&gt;0,A187&gt;=$C$38,EOMONTH(A187,0)&lt;=$C$39),E187*(1-$C$40)*(1-G$15),E187*(1-G$15)))+M187</f>
        <v>0</v>
      </c>
      <c r="U187" s="150">
        <f>IF(C187&gt;$C$10,0,IF(AND($C$38&gt;0,A187&gt;=$C$38,EOMONTH(A187,0)&lt;=$C$39),E187*(1-$C$40)*(1-H$15),E187*(1-H$15)))+M187</f>
        <v>0</v>
      </c>
      <c r="V187" s="150">
        <f>IF(C187&gt;$C$10,0,IF(AND($C$38&gt;0,A187&gt;=$C$38,EOMONTH(A187,0)&lt;=$C$39),E187*(1-$C$40)*(1-I$15),E187*(1-I$15)))+M187</f>
        <v>0</v>
      </c>
      <c r="W187" s="181">
        <f>IF(C187&gt;$C$10,0,IF(AND($C$38&gt;0,A187&gt;=$C$38,EOMONTH(A187,0)&lt;=$C$39),E187*(1-$C$40)*(1-F$34),E187*(1-F$34)))+M187</f>
        <v>0</v>
      </c>
      <c r="X187" s="179">
        <f>IF(C187&gt;$C$10,0,IF(AND($C$38&gt;0,A187&gt;=$C$38,EOMONTH(A187,0)&lt;=$C$39),E187*(1-$C$40)*(1-G$34),E187*(1-G$34)))+M187</f>
        <v>0</v>
      </c>
      <c r="Y187" s="178">
        <f>IF(C187&gt;$C$10,0,IF(AND($C$38&gt;0,A187&gt;=$C$38,EOMONTH(A187,0)&lt;=$C$39),E187*(1-$C$40)*(1-H$34),E187*(1-H$34)))+M187</f>
        <v>0</v>
      </c>
      <c r="Z187" s="179">
        <f>IF(C187&gt;$C$10,0,IF(AND($C$38&gt;0,A187&gt;=$C$38,EOMONTH(A187,0)&lt;=$C$39),E187*(1-$C$40)*(1-I$34),E187*(1-I$34)))+M187</f>
        <v>0</v>
      </c>
      <c r="AA187" s="180">
        <f>IF(C187&gt;$C$10,0,IF(AND($C$38&gt;0,A187&gt;=$C$38,EOMONTH(A187,0)&lt;=$C$39),E187*(1-$C$40)*(1-J$34),E187*(1-J$34)))+M187</f>
        <v>0</v>
      </c>
    </row>
    <row r="188" spans="1:27" x14ac:dyDescent="0.25">
      <c r="A188" s="104">
        <f>EDATE($C$8,113)</f>
        <v>3439</v>
      </c>
      <c r="B188" s="105">
        <f>EDATE($C$8,114)-1</f>
        <v>3468</v>
      </c>
      <c r="C188" s="92">
        <f t="shared" si="23"/>
        <v>114</v>
      </c>
      <c r="D188" s="106">
        <f t="shared" si="13"/>
        <v>10</v>
      </c>
      <c r="E188" s="107">
        <f t="shared" si="14"/>
        <v>0</v>
      </c>
      <c r="F188" s="94">
        <f t="shared" si="24"/>
        <v>0</v>
      </c>
      <c r="G188" s="95">
        <f t="shared" si="25"/>
        <v>0</v>
      </c>
      <c r="H188" s="94">
        <f t="shared" si="15"/>
        <v>0</v>
      </c>
      <c r="I188" s="94">
        <f t="shared" si="16"/>
        <v>0</v>
      </c>
      <c r="J188" s="94">
        <f t="shared" si="17"/>
        <v>0</v>
      </c>
      <c r="K188" s="94">
        <f t="shared" si="18"/>
        <v>0</v>
      </c>
      <c r="L188" s="94">
        <f t="shared" si="19"/>
        <v>0</v>
      </c>
      <c r="M188" s="94">
        <f t="shared" si="20"/>
        <v>0</v>
      </c>
      <c r="N188" s="107">
        <f t="shared" si="21"/>
        <v>0</v>
      </c>
      <c r="O188" s="108">
        <f t="shared" si="22"/>
        <v>0</v>
      </c>
      <c r="P188" s="107">
        <f>MAX(SUM(N188:N198)+S188,0)</f>
        <v>0</v>
      </c>
      <c r="Q188" s="107">
        <f>SUM(F188:F198)</f>
        <v>0</v>
      </c>
      <c r="R188" s="107">
        <f>SUM(M188:M198)</f>
        <v>0</v>
      </c>
      <c r="S188" s="109">
        <f>SUMPRODUCT(($C$55:$C$67)*($D$55:$D$67&gt;=$A188))</f>
        <v>0</v>
      </c>
      <c r="T188" s="150">
        <f>IF(C188&gt;$C$10,0,IF(AND($C$38&gt;0,A188&gt;=$C$38,EOMONTH(A188,0)&lt;=$C$39),E188*(1-$C$40)*(1-G$15),E188*(1-G$15)))+M188</f>
        <v>0</v>
      </c>
      <c r="U188" s="150">
        <f>IF(C188&gt;$C$10,0,IF(AND($C$38&gt;0,A188&gt;=$C$38,EOMONTH(A188,0)&lt;=$C$39),E188*(1-$C$40)*(1-H$15),E188*(1-H$15)))+M188</f>
        <v>0</v>
      </c>
      <c r="V188" s="150">
        <f>IF(C188&gt;$C$10,0,IF(AND($C$38&gt;0,A188&gt;=$C$38,EOMONTH(A188,0)&lt;=$C$39),E188*(1-$C$40)*(1-I$15),E188*(1-I$15)))+M188</f>
        <v>0</v>
      </c>
      <c r="W188" s="181">
        <f>IF(C188&gt;$C$10,0,IF(AND($C$38&gt;0,A188&gt;=$C$38,EOMONTH(A188,0)&lt;=$C$39),E188*(1-$C$40)*(1-F$34),E188*(1-F$34)))+M188</f>
        <v>0</v>
      </c>
      <c r="X188" s="179">
        <f>IF(C188&gt;$C$10,0,IF(AND($C$38&gt;0,A188&gt;=$C$38,EOMONTH(A188,0)&lt;=$C$39),E188*(1-$C$40)*(1-G$34),E188*(1-G$34)))+M188</f>
        <v>0</v>
      </c>
      <c r="Y188" s="178">
        <f>IF(C188&gt;$C$10,0,IF(AND($C$38&gt;0,A188&gt;=$C$38,EOMONTH(A188,0)&lt;=$C$39),E188*(1-$C$40)*(1-H$34),E188*(1-H$34)))+M188</f>
        <v>0</v>
      </c>
      <c r="Z188" s="179">
        <f>IF(C188&gt;$C$10,0,IF(AND($C$38&gt;0,A188&gt;=$C$38,EOMONTH(A188,0)&lt;=$C$39),E188*(1-$C$40)*(1-I$34),E188*(1-I$34)))+M188</f>
        <v>0</v>
      </c>
      <c r="AA188" s="180">
        <f>IF(C188&gt;$C$10,0,IF(AND($C$38&gt;0,A188&gt;=$C$38,EOMONTH(A188,0)&lt;=$C$39),E188*(1-$C$40)*(1-J$34),E188*(1-J$34)))+M188</f>
        <v>0</v>
      </c>
    </row>
    <row r="189" spans="1:27" x14ac:dyDescent="0.25">
      <c r="A189" s="98">
        <f>EDATE($C$8,114)</f>
        <v>3469</v>
      </c>
      <c r="B189" s="99">
        <f>EDATE($C$8,115)-1</f>
        <v>3499</v>
      </c>
      <c r="C189" s="92">
        <f t="shared" si="23"/>
        <v>115</v>
      </c>
      <c r="D189" s="100">
        <f t="shared" si="13"/>
        <v>10</v>
      </c>
      <c r="E189" s="101">
        <f t="shared" si="14"/>
        <v>0</v>
      </c>
      <c r="F189" s="94">
        <f t="shared" si="24"/>
        <v>0</v>
      </c>
      <c r="G189" s="95">
        <f t="shared" si="25"/>
        <v>0</v>
      </c>
      <c r="H189" s="94">
        <f t="shared" si="15"/>
        <v>0</v>
      </c>
      <c r="I189" s="94">
        <f t="shared" si="16"/>
        <v>0</v>
      </c>
      <c r="J189" s="94">
        <f t="shared" si="17"/>
        <v>0</v>
      </c>
      <c r="K189" s="94">
        <f t="shared" si="18"/>
        <v>0</v>
      </c>
      <c r="L189" s="94">
        <f t="shared" si="19"/>
        <v>0</v>
      </c>
      <c r="M189" s="94">
        <f t="shared" si="20"/>
        <v>0</v>
      </c>
      <c r="N189" s="101">
        <f t="shared" si="21"/>
        <v>0</v>
      </c>
      <c r="O189" s="102">
        <f t="shared" si="22"/>
        <v>0</v>
      </c>
      <c r="P189" s="101">
        <f>MAX(SUM(N189:N198)+S189,0)</f>
        <v>0</v>
      </c>
      <c r="Q189" s="101">
        <f>SUM(F189:F198)</f>
        <v>0</v>
      </c>
      <c r="R189" s="101">
        <f>SUM(M189:M198)</f>
        <v>0</v>
      </c>
      <c r="S189" s="103">
        <f>SUMPRODUCT(($C$55:$C$67)*($D$55:$D$67&gt;=$A189))</f>
        <v>0</v>
      </c>
      <c r="T189" s="150">
        <f>IF(C189&gt;$C$10,0,IF(AND($C$38&gt;0,A189&gt;=$C$38,EOMONTH(A189,0)&lt;=$C$39),E189*(1-$C$40)*(1-G$15),E189*(1-G$15)))+M189</f>
        <v>0</v>
      </c>
      <c r="U189" s="150">
        <f>IF(C189&gt;$C$10,0,IF(AND($C$38&gt;0,A189&gt;=$C$38,EOMONTH(A189,0)&lt;=$C$39),E189*(1-$C$40)*(1-H$15),E189*(1-H$15)))+M189</f>
        <v>0</v>
      </c>
      <c r="V189" s="150">
        <f>IF(C189&gt;$C$10,0,IF(AND($C$38&gt;0,A189&gt;=$C$38,EOMONTH(A189,0)&lt;=$C$39),E189*(1-$C$40)*(1-I$15),E189*(1-I$15)))+M189</f>
        <v>0</v>
      </c>
      <c r="W189" s="181">
        <f>IF(C189&gt;$C$10,0,IF(AND($C$38&gt;0,A189&gt;=$C$38,EOMONTH(A189,0)&lt;=$C$39),E189*(1-$C$40)*(1-F$34),E189*(1-F$34)))+M189</f>
        <v>0</v>
      </c>
      <c r="X189" s="179">
        <f>IF(C189&gt;$C$10,0,IF(AND($C$38&gt;0,A189&gt;=$C$38,EOMONTH(A189,0)&lt;=$C$39),E189*(1-$C$40)*(1-G$34),E189*(1-G$34)))+M189</f>
        <v>0</v>
      </c>
      <c r="Y189" s="178">
        <f>IF(C189&gt;$C$10,0,IF(AND($C$38&gt;0,A189&gt;=$C$38,EOMONTH(A189,0)&lt;=$C$39),E189*(1-$C$40)*(1-H$34),E189*(1-H$34)))+M189</f>
        <v>0</v>
      </c>
      <c r="Z189" s="179">
        <f>IF(C189&gt;$C$10,0,IF(AND($C$38&gt;0,A189&gt;=$C$38,EOMONTH(A189,0)&lt;=$C$39),E189*(1-$C$40)*(1-I$34),E189*(1-I$34)))+M189</f>
        <v>0</v>
      </c>
      <c r="AA189" s="180">
        <f>IF(C189&gt;$C$10,0,IF(AND($C$38&gt;0,A189&gt;=$C$38,EOMONTH(A189,0)&lt;=$C$39),E189*(1-$C$40)*(1-J$34),E189*(1-J$34)))+M189</f>
        <v>0</v>
      </c>
    </row>
    <row r="190" spans="1:27" x14ac:dyDescent="0.25">
      <c r="A190" s="104">
        <f>EDATE($C$8,115)</f>
        <v>3500</v>
      </c>
      <c r="B190" s="105">
        <f>EDATE($C$8,116)-1</f>
        <v>3530</v>
      </c>
      <c r="C190" s="92">
        <f t="shared" si="23"/>
        <v>116</v>
      </c>
      <c r="D190" s="106">
        <f t="shared" si="13"/>
        <v>10</v>
      </c>
      <c r="E190" s="107">
        <f t="shared" si="14"/>
        <v>0</v>
      </c>
      <c r="F190" s="94">
        <f t="shared" si="24"/>
        <v>0</v>
      </c>
      <c r="G190" s="95">
        <f t="shared" si="25"/>
        <v>0</v>
      </c>
      <c r="H190" s="94">
        <f t="shared" si="15"/>
        <v>0</v>
      </c>
      <c r="I190" s="94">
        <f t="shared" si="16"/>
        <v>0</v>
      </c>
      <c r="J190" s="94">
        <f t="shared" si="17"/>
        <v>0</v>
      </c>
      <c r="K190" s="94">
        <f t="shared" si="18"/>
        <v>0</v>
      </c>
      <c r="L190" s="94">
        <f t="shared" si="19"/>
        <v>0</v>
      </c>
      <c r="M190" s="94">
        <f t="shared" si="20"/>
        <v>0</v>
      </c>
      <c r="N190" s="107">
        <f t="shared" si="21"/>
        <v>0</v>
      </c>
      <c r="O190" s="108">
        <f t="shared" si="22"/>
        <v>0</v>
      </c>
      <c r="P190" s="107">
        <f>MAX(SUM(N190:N198)+S190,0)</f>
        <v>0</v>
      </c>
      <c r="Q190" s="107">
        <f>SUM(F190:F198)</f>
        <v>0</v>
      </c>
      <c r="R190" s="107">
        <f>SUM(M190:M198)</f>
        <v>0</v>
      </c>
      <c r="S190" s="109">
        <f>SUMPRODUCT(($C$55:$C$67)*($D$55:$D$67&gt;=$A190))</f>
        <v>0</v>
      </c>
      <c r="T190" s="150">
        <f>IF(C190&gt;$C$10,0,IF(AND($C$38&gt;0,A190&gt;=$C$38,EOMONTH(A190,0)&lt;=$C$39),E190*(1-$C$40)*(1-G$15),E190*(1-G$15)))+M190</f>
        <v>0</v>
      </c>
      <c r="U190" s="150">
        <f>IF(C190&gt;$C$10,0,IF(AND($C$38&gt;0,A190&gt;=$C$38,EOMONTH(A190,0)&lt;=$C$39),E190*(1-$C$40)*(1-H$15),E190*(1-H$15)))+M190</f>
        <v>0</v>
      </c>
      <c r="V190" s="150">
        <f>IF(C190&gt;$C$10,0,IF(AND($C$38&gt;0,A190&gt;=$C$38,EOMONTH(A190,0)&lt;=$C$39),E190*(1-$C$40)*(1-I$15),E190*(1-I$15)))+M190</f>
        <v>0</v>
      </c>
      <c r="W190" s="181">
        <f>IF(C190&gt;$C$10,0,IF(AND($C$38&gt;0,A190&gt;=$C$38,EOMONTH(A190,0)&lt;=$C$39),E190*(1-$C$40)*(1-F$34),E190*(1-F$34)))+M190</f>
        <v>0</v>
      </c>
      <c r="X190" s="179">
        <f>IF(C190&gt;$C$10,0,IF(AND($C$38&gt;0,A190&gt;=$C$38,EOMONTH(A190,0)&lt;=$C$39),E190*(1-$C$40)*(1-G$34),E190*(1-G$34)))+M190</f>
        <v>0</v>
      </c>
      <c r="Y190" s="178">
        <f>IF(C190&gt;$C$10,0,IF(AND($C$38&gt;0,A190&gt;=$C$38,EOMONTH(A190,0)&lt;=$C$39),E190*(1-$C$40)*(1-H$34),E190*(1-H$34)))+M190</f>
        <v>0</v>
      </c>
      <c r="Z190" s="179">
        <f>IF(C190&gt;$C$10,0,IF(AND($C$38&gt;0,A190&gt;=$C$38,EOMONTH(A190,0)&lt;=$C$39),E190*(1-$C$40)*(1-I$34),E190*(1-I$34)))+M190</f>
        <v>0</v>
      </c>
      <c r="AA190" s="180">
        <f>IF(C190&gt;$C$10,0,IF(AND($C$38&gt;0,A190&gt;=$C$38,EOMONTH(A190,0)&lt;=$C$39),E190*(1-$C$40)*(1-J$34),E190*(1-J$34)))+M190</f>
        <v>0</v>
      </c>
    </row>
    <row r="191" spans="1:27" x14ac:dyDescent="0.25">
      <c r="A191" s="98">
        <f>EDATE($C$8,116)</f>
        <v>3531</v>
      </c>
      <c r="B191" s="99">
        <f>EDATE($C$8,117)-1</f>
        <v>3560</v>
      </c>
      <c r="C191" s="92">
        <f t="shared" si="23"/>
        <v>117</v>
      </c>
      <c r="D191" s="100">
        <f t="shared" si="13"/>
        <v>10</v>
      </c>
      <c r="E191" s="101">
        <f t="shared" si="14"/>
        <v>0</v>
      </c>
      <c r="F191" s="94">
        <f t="shared" si="24"/>
        <v>0</v>
      </c>
      <c r="G191" s="95">
        <f t="shared" si="25"/>
        <v>0</v>
      </c>
      <c r="H191" s="94">
        <f t="shared" si="15"/>
        <v>0</v>
      </c>
      <c r="I191" s="94">
        <f t="shared" si="16"/>
        <v>0</v>
      </c>
      <c r="J191" s="94">
        <f t="shared" si="17"/>
        <v>0</v>
      </c>
      <c r="K191" s="94">
        <f t="shared" si="18"/>
        <v>0</v>
      </c>
      <c r="L191" s="94">
        <f t="shared" si="19"/>
        <v>0</v>
      </c>
      <c r="M191" s="94">
        <f t="shared" si="20"/>
        <v>0</v>
      </c>
      <c r="N191" s="101">
        <f t="shared" si="21"/>
        <v>0</v>
      </c>
      <c r="O191" s="102">
        <f t="shared" si="22"/>
        <v>0</v>
      </c>
      <c r="P191" s="101">
        <f>MAX(SUM(N191:N198)+S191,0)</f>
        <v>0</v>
      </c>
      <c r="Q191" s="101">
        <f>SUM(F191:F198)</f>
        <v>0</v>
      </c>
      <c r="R191" s="101">
        <f>SUM(M191:M198)</f>
        <v>0</v>
      </c>
      <c r="S191" s="103">
        <f>SUMPRODUCT(($C$55:$C$67)*($D$55:$D$67&gt;=$A191))</f>
        <v>0</v>
      </c>
      <c r="T191" s="150">
        <f>IF(C191&gt;$C$10,0,IF(AND($C$38&gt;0,A191&gt;=$C$38,EOMONTH(A191,0)&lt;=$C$39),E191*(1-$C$40)*(1-G$15),E191*(1-G$15)))+M191</f>
        <v>0</v>
      </c>
      <c r="U191" s="150">
        <f>IF(C191&gt;$C$10,0,IF(AND($C$38&gt;0,A191&gt;=$C$38,EOMONTH(A191,0)&lt;=$C$39),E191*(1-$C$40)*(1-H$15),E191*(1-H$15)))+M191</f>
        <v>0</v>
      </c>
      <c r="V191" s="150">
        <f>IF(C191&gt;$C$10,0,IF(AND($C$38&gt;0,A191&gt;=$C$38,EOMONTH(A191,0)&lt;=$C$39),E191*(1-$C$40)*(1-I$15),E191*(1-I$15)))+M191</f>
        <v>0</v>
      </c>
      <c r="W191" s="181">
        <f>IF(C191&gt;$C$10,0,IF(AND($C$38&gt;0,A191&gt;=$C$38,EOMONTH(A191,0)&lt;=$C$39),E191*(1-$C$40)*(1-F$34),E191*(1-F$34)))+M191</f>
        <v>0</v>
      </c>
      <c r="X191" s="179">
        <f>IF(C191&gt;$C$10,0,IF(AND($C$38&gt;0,A191&gt;=$C$38,EOMONTH(A191,0)&lt;=$C$39),E191*(1-$C$40)*(1-G$34),E191*(1-G$34)))+M191</f>
        <v>0</v>
      </c>
      <c r="Y191" s="178">
        <f>IF(C191&gt;$C$10,0,IF(AND($C$38&gt;0,A191&gt;=$C$38,EOMONTH(A191,0)&lt;=$C$39),E191*(1-$C$40)*(1-H$34),E191*(1-H$34)))+M191</f>
        <v>0</v>
      </c>
      <c r="Z191" s="179">
        <f>IF(C191&gt;$C$10,0,IF(AND($C$38&gt;0,A191&gt;=$C$38,EOMONTH(A191,0)&lt;=$C$39),E191*(1-$C$40)*(1-I$34),E191*(1-I$34)))+M191</f>
        <v>0</v>
      </c>
      <c r="AA191" s="180">
        <f>IF(C191&gt;$C$10,0,IF(AND($C$38&gt;0,A191&gt;=$C$38,EOMONTH(A191,0)&lt;=$C$39),E191*(1-$C$40)*(1-J$34),E191*(1-J$34)))+M191</f>
        <v>0</v>
      </c>
    </row>
    <row r="192" spans="1:27" x14ac:dyDescent="0.25">
      <c r="A192" s="104">
        <f>EDATE($C$8,117)</f>
        <v>3561</v>
      </c>
      <c r="B192" s="105">
        <f>EDATE($C$8,118)-1</f>
        <v>3591</v>
      </c>
      <c r="C192" s="92">
        <f t="shared" si="23"/>
        <v>118</v>
      </c>
      <c r="D192" s="106">
        <f t="shared" si="13"/>
        <v>10</v>
      </c>
      <c r="E192" s="107">
        <f t="shared" si="14"/>
        <v>0</v>
      </c>
      <c r="F192" s="94">
        <f t="shared" si="24"/>
        <v>0</v>
      </c>
      <c r="G192" s="95">
        <f t="shared" si="25"/>
        <v>0</v>
      </c>
      <c r="H192" s="94">
        <f t="shared" si="15"/>
        <v>0</v>
      </c>
      <c r="I192" s="94">
        <f t="shared" si="16"/>
        <v>0</v>
      </c>
      <c r="J192" s="94">
        <f t="shared" si="17"/>
        <v>0</v>
      </c>
      <c r="K192" s="94">
        <f t="shared" si="18"/>
        <v>0</v>
      </c>
      <c r="L192" s="94">
        <f t="shared" si="19"/>
        <v>0</v>
      </c>
      <c r="M192" s="94">
        <f t="shared" si="20"/>
        <v>0</v>
      </c>
      <c r="N192" s="107">
        <f t="shared" si="21"/>
        <v>0</v>
      </c>
      <c r="O192" s="108">
        <f t="shared" si="22"/>
        <v>0</v>
      </c>
      <c r="P192" s="107">
        <f>MAX(SUM(N192:N198)+S192,0)</f>
        <v>0</v>
      </c>
      <c r="Q192" s="107">
        <f>SUM(F192:F198)</f>
        <v>0</v>
      </c>
      <c r="R192" s="107">
        <f>SUM(M192:M198)</f>
        <v>0</v>
      </c>
      <c r="S192" s="109">
        <f>SUMPRODUCT(($C$55:$C$67)*($D$55:$D$67&gt;=$A192))</f>
        <v>0</v>
      </c>
      <c r="T192" s="150">
        <f>IF(C192&gt;$C$10,0,IF(AND($C$38&gt;0,A192&gt;=$C$38,EOMONTH(A192,0)&lt;=$C$39),E192*(1-$C$40)*(1-G$15),E192*(1-G$15)))+M192</f>
        <v>0</v>
      </c>
      <c r="U192" s="150">
        <f>IF(C192&gt;$C$10,0,IF(AND($C$38&gt;0,A192&gt;=$C$38,EOMONTH(A192,0)&lt;=$C$39),E192*(1-$C$40)*(1-H$15),E192*(1-H$15)))+M192</f>
        <v>0</v>
      </c>
      <c r="V192" s="150">
        <f>IF(C192&gt;$C$10,0,IF(AND($C$38&gt;0,A192&gt;=$C$38,EOMONTH(A192,0)&lt;=$C$39),E192*(1-$C$40)*(1-I$15),E192*(1-I$15)))+M192</f>
        <v>0</v>
      </c>
      <c r="W192" s="181">
        <f>IF(C192&gt;$C$10,0,IF(AND($C$38&gt;0,A192&gt;=$C$38,EOMONTH(A192,0)&lt;=$C$39),E192*(1-$C$40)*(1-F$34),E192*(1-F$34)))+M192</f>
        <v>0</v>
      </c>
      <c r="X192" s="179">
        <f>IF(C192&gt;$C$10,0,IF(AND($C$38&gt;0,A192&gt;=$C$38,EOMONTH(A192,0)&lt;=$C$39),E192*(1-$C$40)*(1-G$34),E192*(1-G$34)))+M192</f>
        <v>0</v>
      </c>
      <c r="Y192" s="178">
        <f>IF(C192&gt;$C$10,0,IF(AND($C$38&gt;0,A192&gt;=$C$38,EOMONTH(A192,0)&lt;=$C$39),E192*(1-$C$40)*(1-H$34),E192*(1-H$34)))+M192</f>
        <v>0</v>
      </c>
      <c r="Z192" s="179">
        <f>IF(C192&gt;$C$10,0,IF(AND($C$38&gt;0,A192&gt;=$C$38,EOMONTH(A192,0)&lt;=$C$39),E192*(1-$C$40)*(1-I$34),E192*(1-I$34)))+M192</f>
        <v>0</v>
      </c>
      <c r="AA192" s="180">
        <f>IF(C192&gt;$C$10,0,IF(AND($C$38&gt;0,A192&gt;=$C$38,EOMONTH(A192,0)&lt;=$C$39),E192*(1-$C$40)*(1-J$34),E192*(1-J$34)))+M192</f>
        <v>0</v>
      </c>
    </row>
    <row r="193" spans="1:27" x14ac:dyDescent="0.25">
      <c r="A193" s="98">
        <f>EDATE($C$8,118)</f>
        <v>3592</v>
      </c>
      <c r="B193" s="99">
        <f>EDATE($C$8,119)-1</f>
        <v>3621</v>
      </c>
      <c r="C193" s="92">
        <f t="shared" si="23"/>
        <v>119</v>
      </c>
      <c r="D193" s="100">
        <f t="shared" si="13"/>
        <v>10</v>
      </c>
      <c r="E193" s="101">
        <f t="shared" si="14"/>
        <v>0</v>
      </c>
      <c r="F193" s="94">
        <f t="shared" si="24"/>
        <v>0</v>
      </c>
      <c r="G193" s="95">
        <f t="shared" si="25"/>
        <v>0</v>
      </c>
      <c r="H193" s="94">
        <f t="shared" si="15"/>
        <v>0</v>
      </c>
      <c r="I193" s="94">
        <f t="shared" si="16"/>
        <v>0</v>
      </c>
      <c r="J193" s="94">
        <f t="shared" si="17"/>
        <v>0</v>
      </c>
      <c r="K193" s="94">
        <f t="shared" si="18"/>
        <v>0</v>
      </c>
      <c r="L193" s="94">
        <f t="shared" si="19"/>
        <v>0</v>
      </c>
      <c r="M193" s="94">
        <f t="shared" si="20"/>
        <v>0</v>
      </c>
      <c r="N193" s="101">
        <f t="shared" si="21"/>
        <v>0</v>
      </c>
      <c r="O193" s="102">
        <f t="shared" si="22"/>
        <v>0</v>
      </c>
      <c r="P193" s="101">
        <f>MAX(SUM(N193:N198)+S193,0)</f>
        <v>0</v>
      </c>
      <c r="Q193" s="101">
        <f>SUM(F193:F198)</f>
        <v>0</v>
      </c>
      <c r="R193" s="101">
        <f>SUM(M193:M198)</f>
        <v>0</v>
      </c>
      <c r="S193" s="103">
        <f>SUMPRODUCT(($C$55:$C$67)*($D$55:$D$67&gt;=$A193))</f>
        <v>0</v>
      </c>
      <c r="T193" s="150">
        <f>IF(C193&gt;$C$10,0,IF(AND($C$38&gt;0,A193&gt;=$C$38,EOMONTH(A193,0)&lt;=$C$39),E193*(1-$C$40)*(1-G$15),E193*(1-G$15)))+M193</f>
        <v>0</v>
      </c>
      <c r="U193" s="150">
        <f>IF(C193&gt;$C$10,0,IF(AND($C$38&gt;0,A193&gt;=$C$38,EOMONTH(A193,0)&lt;=$C$39),E193*(1-$C$40)*(1-H$15),E193*(1-H$15)))+M193</f>
        <v>0</v>
      </c>
      <c r="V193" s="150">
        <f>IF(C193&gt;$C$10,0,IF(AND($C$38&gt;0,A193&gt;=$C$38,EOMONTH(A193,0)&lt;=$C$39),E193*(1-$C$40)*(1-I$15),E193*(1-I$15)))+M193</f>
        <v>0</v>
      </c>
      <c r="W193" s="181">
        <f>IF(C193&gt;$C$10,0,IF(AND($C$38&gt;0,A193&gt;=$C$38,EOMONTH(A193,0)&lt;=$C$39),E193*(1-$C$40)*(1-F$34),E193*(1-F$34)))+M193</f>
        <v>0</v>
      </c>
      <c r="X193" s="179">
        <f>IF(C193&gt;$C$10,0,IF(AND($C$38&gt;0,A193&gt;=$C$38,EOMONTH(A193,0)&lt;=$C$39),E193*(1-$C$40)*(1-G$34),E193*(1-G$34)))+M193</f>
        <v>0</v>
      </c>
      <c r="Y193" s="178">
        <f>IF(C193&gt;$C$10,0,IF(AND($C$38&gt;0,A193&gt;=$C$38,EOMONTH(A193,0)&lt;=$C$39),E193*(1-$C$40)*(1-H$34),E193*(1-H$34)))+M193</f>
        <v>0</v>
      </c>
      <c r="Z193" s="179">
        <f>IF(C193&gt;$C$10,0,IF(AND($C$38&gt;0,A193&gt;=$C$38,EOMONTH(A193,0)&lt;=$C$39),E193*(1-$C$40)*(1-I$34),E193*(1-I$34)))+M193</f>
        <v>0</v>
      </c>
      <c r="AA193" s="180">
        <f>IF(C193&gt;$C$10,0,IF(AND($C$38&gt;0,A193&gt;=$C$38,EOMONTH(A193,0)&lt;=$C$39),E193*(1-$C$40)*(1-J$34),E193*(1-J$34)))+M193</f>
        <v>0</v>
      </c>
    </row>
    <row r="194" spans="1:27" x14ac:dyDescent="0.25">
      <c r="A194" s="104">
        <f>EDATE($C$8,119)</f>
        <v>3622</v>
      </c>
      <c r="B194" s="105">
        <f>EDATE($C$8,120)-1</f>
        <v>3652</v>
      </c>
      <c r="C194" s="92">
        <f t="shared" si="23"/>
        <v>120</v>
      </c>
      <c r="D194" s="106">
        <f t="shared" si="13"/>
        <v>10</v>
      </c>
      <c r="E194" s="107">
        <f t="shared" si="14"/>
        <v>0</v>
      </c>
      <c r="F194" s="94">
        <f t="shared" si="24"/>
        <v>0</v>
      </c>
      <c r="G194" s="95">
        <f t="shared" si="25"/>
        <v>0</v>
      </c>
      <c r="H194" s="94">
        <f t="shared" si="15"/>
        <v>0</v>
      </c>
      <c r="I194" s="94">
        <f t="shared" si="16"/>
        <v>0</v>
      </c>
      <c r="J194" s="94">
        <f t="shared" si="17"/>
        <v>0</v>
      </c>
      <c r="K194" s="94">
        <f t="shared" si="18"/>
        <v>0</v>
      </c>
      <c r="L194" s="94">
        <f t="shared" si="19"/>
        <v>0</v>
      </c>
      <c r="M194" s="94">
        <f t="shared" si="20"/>
        <v>0</v>
      </c>
      <c r="N194" s="107">
        <f t="shared" si="21"/>
        <v>0</v>
      </c>
      <c r="O194" s="108">
        <f t="shared" si="22"/>
        <v>0</v>
      </c>
      <c r="P194" s="107">
        <f>MAX(SUM(N194:N198)+S194,0)</f>
        <v>0</v>
      </c>
      <c r="Q194" s="107">
        <f>SUM(F194:F198)</f>
        <v>0</v>
      </c>
      <c r="R194" s="107">
        <f>SUM(M194:M198)</f>
        <v>0</v>
      </c>
      <c r="S194" s="109">
        <f>SUMPRODUCT(($C$55:$C$67)*($D$55:$D$67&gt;=$A194))</f>
        <v>0</v>
      </c>
      <c r="T194" s="150">
        <f>IF(C194&gt;$C$10,0,IF(AND($C$38&gt;0,A194&gt;=$C$38,EOMONTH(A194,0)&lt;=$C$39),E194*(1-$C$40)*(1-G$15),E194*(1-G$15)))+M194</f>
        <v>0</v>
      </c>
      <c r="U194" s="150">
        <f>IF(C194&gt;$C$10,0,IF(AND($C$38&gt;0,A194&gt;=$C$38,EOMONTH(A194,0)&lt;=$C$39),E194*(1-$C$40)*(1-H$15),E194*(1-H$15)))+M194</f>
        <v>0</v>
      </c>
      <c r="V194" s="150">
        <f>IF(C194&gt;$C$10,0,IF(AND($C$38&gt;0,A194&gt;=$C$38,EOMONTH(A194,0)&lt;=$C$39),E194*(1-$C$40)*(1-I$15),E194*(1-I$15)))+M194</f>
        <v>0</v>
      </c>
      <c r="W194" s="181">
        <f>IF(C194&gt;$C$10,0,IF(AND($C$38&gt;0,A194&gt;=$C$38,EOMONTH(A194,0)&lt;=$C$39),E194*(1-$C$40)*(1-F$34),E194*(1-F$34)))+M194</f>
        <v>0</v>
      </c>
      <c r="X194" s="179">
        <f>IF(C194&gt;$C$10,0,IF(AND($C$38&gt;0,A194&gt;=$C$38,EOMONTH(A194,0)&lt;=$C$39),E194*(1-$C$40)*(1-G$34),E194*(1-G$34)))+M194</f>
        <v>0</v>
      </c>
      <c r="Y194" s="178">
        <f>IF(C194&gt;$C$10,0,IF(AND($C$38&gt;0,A194&gt;=$C$38,EOMONTH(A194,0)&lt;=$C$39),E194*(1-$C$40)*(1-H$34),E194*(1-H$34)))+M194</f>
        <v>0</v>
      </c>
      <c r="Z194" s="179">
        <f>IF(C194&gt;$C$10,0,IF(AND($C$38&gt;0,A194&gt;=$C$38,EOMONTH(A194,0)&lt;=$C$39),E194*(1-$C$40)*(1-I$34),E194*(1-I$34)))+M194</f>
        <v>0</v>
      </c>
      <c r="AA194" s="180">
        <f>IF(C194&gt;$C$10,0,IF(AND($C$38&gt;0,A194&gt;=$C$38,EOMONTH(A194,0)&lt;=$C$39),E194*(1-$C$40)*(1-J$34),E194*(1-J$34)))+M194</f>
        <v>0</v>
      </c>
    </row>
    <row r="195" spans="1:27" x14ac:dyDescent="0.25">
      <c r="A195" s="98">
        <f>EDATE($C$8,120)</f>
        <v>3653</v>
      </c>
      <c r="B195" s="99">
        <f>EDATE($C$8,121)-1</f>
        <v>3683</v>
      </c>
      <c r="C195" s="92">
        <f t="shared" si="23"/>
        <v>121</v>
      </c>
      <c r="D195" s="100">
        <f t="shared" si="13"/>
        <v>11</v>
      </c>
      <c r="E195" s="101">
        <f t="shared" si="14"/>
        <v>0</v>
      </c>
      <c r="F195" s="94">
        <f t="shared" si="24"/>
        <v>0</v>
      </c>
      <c r="G195" s="95">
        <f t="shared" si="25"/>
        <v>0</v>
      </c>
      <c r="H195" s="94">
        <f t="shared" si="15"/>
        <v>0</v>
      </c>
      <c r="I195" s="94">
        <f t="shared" si="16"/>
        <v>0</v>
      </c>
      <c r="J195" s="94">
        <f t="shared" si="17"/>
        <v>0</v>
      </c>
      <c r="K195" s="94">
        <f t="shared" si="18"/>
        <v>0</v>
      </c>
      <c r="L195" s="94">
        <f t="shared" si="19"/>
        <v>0</v>
      </c>
      <c r="M195" s="94">
        <f t="shared" si="20"/>
        <v>0</v>
      </c>
      <c r="N195" s="101">
        <f t="shared" si="21"/>
        <v>0</v>
      </c>
      <c r="O195" s="102">
        <f t="shared" si="22"/>
        <v>0</v>
      </c>
      <c r="P195" s="101">
        <f>MAX(SUM(N195:N198)+S195,0)</f>
        <v>0</v>
      </c>
      <c r="Q195" s="101">
        <f>SUM(F195:F198)</f>
        <v>0</v>
      </c>
      <c r="R195" s="101">
        <f>SUM(M195:M198)</f>
        <v>0</v>
      </c>
      <c r="S195" s="103">
        <f>SUMPRODUCT(($C$55:$C$67)*($D$55:$D$67&gt;=$A195))</f>
        <v>0</v>
      </c>
      <c r="T195" s="150">
        <f>IF(C195&gt;$C$10,0,IF(AND($C$38&gt;0,A195&gt;=$C$38,EOMONTH(A195,0)&lt;=$C$39),E195*(1-$C$40)*(1-G$15),E195*(1-G$15)))+M195</f>
        <v>0</v>
      </c>
      <c r="U195" s="150">
        <f>IF(C195&gt;$C$10,0,IF(AND($C$38&gt;0,A195&gt;=$C$38,EOMONTH(A195,0)&lt;=$C$39),E195*(1-$C$40)*(1-H$15),E195*(1-H$15)))+M195</f>
        <v>0</v>
      </c>
      <c r="V195" s="150">
        <f>IF(C195&gt;$C$10,0,IF(AND($C$38&gt;0,A195&gt;=$C$38,EOMONTH(A195,0)&lt;=$C$39),E195*(1-$C$40)*(1-I$15),E195*(1-I$15)))+M195</f>
        <v>0</v>
      </c>
      <c r="W195" s="181">
        <f>IF(C195&gt;$C$10,0,IF(AND($C$38&gt;0,A195&gt;=$C$38,EOMONTH(A195,0)&lt;=$C$39),E195*(1-$C$40)*(1-F$34),E195*(1-F$34)))+M195</f>
        <v>0</v>
      </c>
      <c r="X195" s="179">
        <f>IF(C195&gt;$C$10,0,IF(AND($C$38&gt;0,A195&gt;=$C$38,EOMONTH(A195,0)&lt;=$C$39),E195*(1-$C$40)*(1-G$34),E195*(1-G$34)))+M195</f>
        <v>0</v>
      </c>
      <c r="Y195" s="178">
        <f>IF(C195&gt;$C$10,0,IF(AND($C$38&gt;0,A195&gt;=$C$38,EOMONTH(A195,0)&lt;=$C$39),E195*(1-$C$40)*(1-H$34),E195*(1-H$34)))+M195</f>
        <v>0</v>
      </c>
      <c r="Z195" s="179">
        <f>IF(C195&gt;$C$10,0,IF(AND($C$38&gt;0,A195&gt;=$C$38,EOMONTH(A195,0)&lt;=$C$39),E195*(1-$C$40)*(1-I$34),E195*(1-I$34)))+M195</f>
        <v>0</v>
      </c>
      <c r="AA195" s="180">
        <f>IF(C195&gt;$C$10,0,IF(AND($C$38&gt;0,A195&gt;=$C$38,EOMONTH(A195,0)&lt;=$C$39),E195*(1-$C$40)*(1-J$34),E195*(1-J$34)))+M195</f>
        <v>0</v>
      </c>
    </row>
    <row r="196" spans="1:27" x14ac:dyDescent="0.25">
      <c r="A196" s="104">
        <f>EDATE($C$8,121)</f>
        <v>3684</v>
      </c>
      <c r="B196" s="105">
        <f>EDATE($C$8,122)-1</f>
        <v>3711</v>
      </c>
      <c r="C196" s="92">
        <f t="shared" si="23"/>
        <v>122</v>
      </c>
      <c r="D196" s="106">
        <f t="shared" si="13"/>
        <v>11</v>
      </c>
      <c r="E196" s="107">
        <f t="shared" si="14"/>
        <v>0</v>
      </c>
      <c r="F196" s="94">
        <f t="shared" si="24"/>
        <v>0</v>
      </c>
      <c r="G196" s="95">
        <f t="shared" si="25"/>
        <v>0</v>
      </c>
      <c r="H196" s="94">
        <f t="shared" si="15"/>
        <v>0</v>
      </c>
      <c r="I196" s="94">
        <f t="shared" si="16"/>
        <v>0</v>
      </c>
      <c r="J196" s="94">
        <f t="shared" si="17"/>
        <v>0</v>
      </c>
      <c r="K196" s="94">
        <f t="shared" si="18"/>
        <v>0</v>
      </c>
      <c r="L196" s="94">
        <f t="shared" si="19"/>
        <v>0</v>
      </c>
      <c r="M196" s="94">
        <f t="shared" si="20"/>
        <v>0</v>
      </c>
      <c r="N196" s="107">
        <f t="shared" si="21"/>
        <v>0</v>
      </c>
      <c r="O196" s="108">
        <f t="shared" si="22"/>
        <v>0</v>
      </c>
      <c r="P196" s="107">
        <f>MAX(SUM(N196:N198)+S196,0)</f>
        <v>0</v>
      </c>
      <c r="Q196" s="107">
        <f>SUM(F196:F198)</f>
        <v>0</v>
      </c>
      <c r="R196" s="107">
        <f>SUM(M196:M198)</f>
        <v>0</v>
      </c>
      <c r="S196" s="109">
        <f>SUMPRODUCT(($C$55:$C$67)*($D$55:$D$67&gt;=$A196))</f>
        <v>0</v>
      </c>
      <c r="T196" s="150">
        <f>IF(C196&gt;$C$10,0,IF(AND($C$38&gt;0,A196&gt;=$C$38,EOMONTH(A196,0)&lt;=$C$39),E196*(1-$C$40)*(1-G$15),E196*(1-G$15)))+M196</f>
        <v>0</v>
      </c>
      <c r="U196" s="150">
        <f>IF(C196&gt;$C$10,0,IF(AND($C$38&gt;0,A196&gt;=$C$38,EOMONTH(A196,0)&lt;=$C$39),E196*(1-$C$40)*(1-H$15),E196*(1-H$15)))+M196</f>
        <v>0</v>
      </c>
      <c r="V196" s="150">
        <f>IF(C196&gt;$C$10,0,IF(AND($C$38&gt;0,A196&gt;=$C$38,EOMONTH(A196,0)&lt;=$C$39),E196*(1-$C$40)*(1-I$15),E196*(1-I$15)))+M196</f>
        <v>0</v>
      </c>
      <c r="W196" s="181">
        <f>IF(C196&gt;$C$10,0,IF(AND($C$38&gt;0,A196&gt;=$C$38,EOMONTH(A196,0)&lt;=$C$39),E196*(1-$C$40)*(1-F$34),E196*(1-F$34)))+M196</f>
        <v>0</v>
      </c>
      <c r="X196" s="179">
        <f>IF(C196&gt;$C$10,0,IF(AND($C$38&gt;0,A196&gt;=$C$38,EOMONTH(A196,0)&lt;=$C$39),E196*(1-$C$40)*(1-G$34),E196*(1-G$34)))+M196</f>
        <v>0</v>
      </c>
      <c r="Y196" s="178">
        <f>IF(C196&gt;$C$10,0,IF(AND($C$38&gt;0,A196&gt;=$C$38,EOMONTH(A196,0)&lt;=$C$39),E196*(1-$C$40)*(1-H$34),E196*(1-H$34)))+M196</f>
        <v>0</v>
      </c>
      <c r="Z196" s="179">
        <f>IF(C196&gt;$C$10,0,IF(AND($C$38&gt;0,A196&gt;=$C$38,EOMONTH(A196,0)&lt;=$C$39),E196*(1-$C$40)*(1-I$34),E196*(1-I$34)))+M196</f>
        <v>0</v>
      </c>
      <c r="AA196" s="180">
        <f>IF(C196&gt;$C$10,0,IF(AND($C$38&gt;0,A196&gt;=$C$38,EOMONTH(A196,0)&lt;=$C$39),E196*(1-$C$40)*(1-J$34),E196*(1-J$34)))+M196</f>
        <v>0</v>
      </c>
    </row>
    <row r="197" spans="1:27" x14ac:dyDescent="0.25">
      <c r="A197" s="98">
        <f>EDATE($C$8,122)</f>
        <v>3712</v>
      </c>
      <c r="B197" s="99">
        <f>EDATE($C$8,123)-1</f>
        <v>3742</v>
      </c>
      <c r="C197" s="92">
        <f t="shared" si="23"/>
        <v>123</v>
      </c>
      <c r="D197" s="100">
        <f t="shared" si="13"/>
        <v>11</v>
      </c>
      <c r="E197" s="101">
        <f t="shared" si="14"/>
        <v>0</v>
      </c>
      <c r="F197" s="94">
        <f t="shared" si="24"/>
        <v>0</v>
      </c>
      <c r="G197" s="95">
        <f t="shared" si="25"/>
        <v>0</v>
      </c>
      <c r="H197" s="94">
        <f t="shared" si="15"/>
        <v>0</v>
      </c>
      <c r="I197" s="94">
        <f t="shared" si="16"/>
        <v>0</v>
      </c>
      <c r="J197" s="94">
        <f t="shared" si="17"/>
        <v>0</v>
      </c>
      <c r="K197" s="94">
        <f t="shared" si="18"/>
        <v>0</v>
      </c>
      <c r="L197" s="94">
        <f t="shared" si="19"/>
        <v>0</v>
      </c>
      <c r="M197" s="94">
        <f t="shared" si="20"/>
        <v>0</v>
      </c>
      <c r="N197" s="101">
        <f t="shared" si="21"/>
        <v>0</v>
      </c>
      <c r="O197" s="102">
        <f t="shared" si="22"/>
        <v>0</v>
      </c>
      <c r="P197" s="101">
        <f>MAX(SUM(N197:N198)+S197,0)</f>
        <v>0</v>
      </c>
      <c r="Q197" s="101">
        <f>SUM(F197:F198)</f>
        <v>0</v>
      </c>
      <c r="R197" s="101">
        <f>SUM(M197:M198)</f>
        <v>0</v>
      </c>
      <c r="S197" s="103">
        <f>SUMPRODUCT(($C$55:$C$67)*($D$55:$D$67&gt;=$A197))</f>
        <v>0</v>
      </c>
      <c r="T197" s="150">
        <f>IF(C197&gt;$C$10,0,IF(AND($C$38&gt;0,A197&gt;=$C$38,EOMONTH(A197,0)&lt;=$C$39),E197*(1-$C$40)*(1-G$15),E197*(1-G$15)))+M197</f>
        <v>0</v>
      </c>
      <c r="U197" s="150">
        <f>IF(C197&gt;$C$10,0,IF(AND($C$38&gt;0,A197&gt;=$C$38,EOMONTH(A197,0)&lt;=$C$39),E197*(1-$C$40)*(1-H$15),E197*(1-H$15)))+M197</f>
        <v>0</v>
      </c>
      <c r="V197" s="150">
        <f>IF(C197&gt;$C$10,0,IF(AND($C$38&gt;0,A197&gt;=$C$38,EOMONTH(A197,0)&lt;=$C$39),E197*(1-$C$40)*(1-I$15),E197*(1-I$15)))+M197</f>
        <v>0</v>
      </c>
      <c r="W197" s="181">
        <f>IF(C197&gt;$C$10,0,IF(AND($C$38&gt;0,A197&gt;=$C$38,EOMONTH(A197,0)&lt;=$C$39),E197*(1-$C$40)*(1-F$34),E197*(1-F$34)))+M197</f>
        <v>0</v>
      </c>
      <c r="X197" s="179">
        <f>IF(C197&gt;$C$10,0,IF(AND($C$38&gt;0,A197&gt;=$C$38,EOMONTH(A197,0)&lt;=$C$39),E197*(1-$C$40)*(1-G$34),E197*(1-G$34)))+M197</f>
        <v>0</v>
      </c>
      <c r="Y197" s="178">
        <f>IF(C197&gt;$C$10,0,IF(AND($C$38&gt;0,A197&gt;=$C$38,EOMONTH(A197,0)&lt;=$C$39),E197*(1-$C$40)*(1-H$34),E197*(1-H$34)))+M197</f>
        <v>0</v>
      </c>
      <c r="Z197" s="179">
        <f>IF(C197&gt;$C$10,0,IF(AND($C$38&gt;0,A197&gt;=$C$38,EOMONTH(A197,0)&lt;=$C$39),E197*(1-$C$40)*(1-I$34),E197*(1-I$34)))+M197</f>
        <v>0</v>
      </c>
      <c r="AA197" s="180">
        <f>IF(C197&gt;$C$10,0,IF(AND($C$38&gt;0,A197&gt;=$C$38,EOMONTH(A197,0)&lt;=$C$39),E197*(1-$C$40)*(1-J$34),E197*(1-J$34)))+M197</f>
        <v>0</v>
      </c>
    </row>
    <row r="198" spans="1:27" ht="16.5" thickBot="1" x14ac:dyDescent="0.3">
      <c r="A198" s="104">
        <f>EDATE($C$8,123)</f>
        <v>3743</v>
      </c>
      <c r="B198" s="105">
        <f>$C$11</f>
        <v>0</v>
      </c>
      <c r="C198" s="92">
        <f t="shared" si="23"/>
        <v>124</v>
      </c>
      <c r="D198" s="106">
        <f t="shared" si="13"/>
        <v>11</v>
      </c>
      <c r="E198" s="107">
        <f t="shared" si="14"/>
        <v>0</v>
      </c>
      <c r="F198" s="94">
        <f t="shared" si="24"/>
        <v>0</v>
      </c>
      <c r="G198" s="95">
        <f t="shared" si="25"/>
        <v>0</v>
      </c>
      <c r="H198" s="94">
        <f t="shared" si="15"/>
        <v>0</v>
      </c>
      <c r="I198" s="94">
        <f t="shared" si="16"/>
        <v>0</v>
      </c>
      <c r="J198" s="94">
        <f t="shared" si="17"/>
        <v>0</v>
      </c>
      <c r="K198" s="94">
        <f t="shared" si="18"/>
        <v>0</v>
      </c>
      <c r="L198" s="94">
        <f t="shared" si="19"/>
        <v>0</v>
      </c>
      <c r="M198" s="94">
        <f t="shared" si="20"/>
        <v>0</v>
      </c>
      <c r="N198" s="107">
        <f t="shared" si="21"/>
        <v>0</v>
      </c>
      <c r="O198" s="108">
        <f t="shared" si="22"/>
        <v>0</v>
      </c>
      <c r="P198" s="107">
        <f>MAX(SUM(N198:N198)+S198,0)</f>
        <v>0</v>
      </c>
      <c r="Q198" s="107">
        <f>SUM(F198:F198)</f>
        <v>0</v>
      </c>
      <c r="R198" s="107">
        <f>SUM(M198:M198)</f>
        <v>0</v>
      </c>
      <c r="S198" s="109">
        <f>SUMPRODUCT(($C$55:$C$67)*($D$55:$D$67&gt;=$A198))</f>
        <v>0</v>
      </c>
      <c r="T198" s="150">
        <f>IF(C198&gt;$C$10,0,IF(AND($C$38&gt;0,A198&gt;=$C$38,EOMONTH(A198,0)&lt;=$C$39),E198*(1-$C$40)*(1-G$15),E198*(1-G$15)))+M198</f>
        <v>0</v>
      </c>
      <c r="U198" s="150">
        <f>IF(C198&gt;$C$10,0,IF(AND($C$38&gt;0,A198&gt;=$C$38,EOMONTH(A198,0)&lt;=$C$39),E198*(1-$C$40)*(1-H$15),E198*(1-H$15)))+M198</f>
        <v>0</v>
      </c>
      <c r="V198" s="150">
        <f>IF(C198&gt;$C$10,0,IF(AND($C$38&gt;0,A198&gt;=$C$38,EOMONTH(A198,0)&lt;=$C$39),E198*(1-$C$40)*(1-I$15),E198*(1-I$15)))+M198</f>
        <v>0</v>
      </c>
      <c r="W198" s="181">
        <f>IF(C198&gt;$C$10,0,IF(AND($C$38&gt;0,A198&gt;=$C$38,EOMONTH(A198,0)&lt;=$C$39),E198*(1-$C$40)*(1-F$34),E198*(1-F$34)))+M198</f>
        <v>0</v>
      </c>
      <c r="X198" s="179">
        <f>IF(C198&gt;$C$10,0,IF(AND($C$38&gt;0,A198&gt;=$C$38,EOMONTH(A198,0)&lt;=$C$39),E198*(1-$C$40)*(1-G$34),E198*(1-G$34)))+M198</f>
        <v>0</v>
      </c>
      <c r="Y198" s="178">
        <f>IF(C198&gt;$C$10,0,IF(AND($C$38&gt;0,A198&gt;=$C$38,EOMONTH(A198,0)&lt;=$C$39),E198*(1-$C$40)*(1-H$34),E198*(1-H$34)))+M198</f>
        <v>0</v>
      </c>
      <c r="Z198" s="179">
        <f>IF(C198&gt;$C$10,0,IF(AND($C$38&gt;0,A198&gt;=$C$38,EOMONTH(A198,0)&lt;=$C$39),E198*(1-$C$40)*(1-I$34),E198*(1-I$34)))+M198</f>
        <v>0</v>
      </c>
      <c r="AA198" s="180">
        <f>IF(C198&gt;$C$10,0,IF(AND($C$38&gt;0,A198&gt;=$C$38,EOMONTH(A198,0)&lt;=$C$39),E198*(1-$C$40)*(1-J$34),E198*(1-J$34)))+M198</f>
        <v>0</v>
      </c>
    </row>
    <row r="199" spans="1:27" ht="16.5" thickTop="1" x14ac:dyDescent="0.25">
      <c r="A199" s="110" t="s">
        <v>28</v>
      </c>
      <c r="B199" s="111" t="s">
        <v>11</v>
      </c>
      <c r="C199" s="111" t="s">
        <v>11</v>
      </c>
      <c r="D199" s="111" t="s">
        <v>11</v>
      </c>
      <c r="E199" s="112">
        <f>SUM(E75:E198)</f>
        <v>0</v>
      </c>
      <c r="F199" s="112">
        <f>SUM(F75:F198)</f>
        <v>0</v>
      </c>
      <c r="G199" s="112">
        <f>SUM(G75:G198)</f>
        <v>0</v>
      </c>
      <c r="H199" s="112">
        <f t="shared" ref="H199:N199" si="26">SUM(H75:H198)</f>
        <v>0</v>
      </c>
      <c r="I199" s="112">
        <f t="shared" si="26"/>
        <v>0</v>
      </c>
      <c r="J199" s="112">
        <f t="shared" si="26"/>
        <v>0</v>
      </c>
      <c r="K199" s="112">
        <f t="shared" si="26"/>
        <v>0</v>
      </c>
      <c r="L199" s="112">
        <f t="shared" si="26"/>
        <v>0</v>
      </c>
      <c r="M199" s="112">
        <f t="shared" si="26"/>
        <v>0</v>
      </c>
      <c r="N199" s="112">
        <f t="shared" si="26"/>
        <v>0</v>
      </c>
      <c r="O199" s="111" t="s">
        <v>11</v>
      </c>
      <c r="P199" s="111" t="s">
        <v>11</v>
      </c>
      <c r="Q199" s="111" t="s">
        <v>11</v>
      </c>
      <c r="R199" s="111" t="s">
        <v>11</v>
      </c>
      <c r="S199" s="113" t="s">
        <v>11</v>
      </c>
      <c r="T199" s="151">
        <f t="shared" ref="T199:AA199" si="27">SUM(T75:T198)</f>
        <v>0</v>
      </c>
      <c r="U199" s="151">
        <f t="shared" si="27"/>
        <v>0</v>
      </c>
      <c r="V199" s="151">
        <f t="shared" si="27"/>
        <v>0</v>
      </c>
      <c r="W199" s="182">
        <f t="shared" si="27"/>
        <v>0</v>
      </c>
      <c r="X199" s="183">
        <f t="shared" si="27"/>
        <v>0</v>
      </c>
      <c r="Y199" s="183">
        <f t="shared" si="27"/>
        <v>0</v>
      </c>
      <c r="Z199" s="183">
        <f t="shared" si="27"/>
        <v>0</v>
      </c>
      <c r="AA199" s="183">
        <f t="shared" si="27"/>
        <v>0</v>
      </c>
    </row>
  </sheetData>
  <mergeCells count="2">
    <mergeCell ref="B2:F2"/>
    <mergeCell ref="T73:AA73"/>
  </mergeCells>
  <dataValidations count="1">
    <dataValidation type="list" errorStyle="warning" allowBlank="1" showInputMessage="1" showErrorMessage="1" errorTitle="Date Not in Schedule" error="Consider selecting a date that matches a lease period start date." promptTitle="Effective Date of Analysis" prompt="Select a lease period start date. This drives all scenario and remaining-obligation calculations." sqref="C12" xr:uid="{0AFC55C9-CB94-4C71-9634-F0B0B3155EE3}">
      <formula1>$A$75:$A$198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064E-0A2B-4BC5-B394-C6B7EDB96174}">
  <dimension ref="A1:AD199"/>
  <sheetViews>
    <sheetView topLeftCell="A49" zoomScale="70" zoomScaleNormal="70" workbookViewId="0">
      <selection activeCell="H14" sqref="H14"/>
    </sheetView>
  </sheetViews>
  <sheetFormatPr defaultRowHeight="15.75" x14ac:dyDescent="0.25"/>
  <cols>
    <col min="1" max="1" width="23.140625" style="25" bestFit="1" customWidth="1"/>
    <col min="2" max="2" width="45.7109375" style="25" bestFit="1" customWidth="1"/>
    <col min="3" max="3" width="15.140625" style="25" bestFit="1" customWidth="1"/>
    <col min="4" max="4" width="37.7109375" style="25" bestFit="1" customWidth="1"/>
    <col min="5" max="5" width="50.28515625" style="25" bestFit="1" customWidth="1"/>
    <col min="6" max="6" width="28.7109375" style="25" bestFit="1" customWidth="1"/>
    <col min="7" max="7" width="37.7109375" style="25" bestFit="1" customWidth="1"/>
    <col min="8" max="8" width="27.5703125" style="25" bestFit="1" customWidth="1"/>
    <col min="9" max="10" width="41.5703125" style="25" bestFit="1" customWidth="1"/>
    <col min="11" max="11" width="34.5703125" style="25" bestFit="1" customWidth="1"/>
    <col min="12" max="12" width="46.42578125" style="25" bestFit="1" customWidth="1"/>
    <col min="13" max="13" width="35.42578125" style="25" bestFit="1" customWidth="1"/>
    <col min="14" max="14" width="41.5703125" style="25" bestFit="1" customWidth="1"/>
    <col min="15" max="15" width="34.5703125" style="25" bestFit="1" customWidth="1"/>
    <col min="16" max="16" width="46.42578125" style="25" bestFit="1" customWidth="1"/>
    <col min="17" max="17" width="17.85546875" style="25" customWidth="1"/>
    <col min="18" max="18" width="15.85546875" style="25" customWidth="1"/>
    <col min="19" max="19" width="15.140625" style="25" bestFit="1" customWidth="1"/>
    <col min="20" max="22" width="16.42578125" style="25" bestFit="1" customWidth="1"/>
    <col min="23" max="26" width="16.42578125" style="25" customWidth="1"/>
    <col min="27" max="27" width="16.42578125" style="25" bestFit="1" customWidth="1"/>
    <col min="28" max="16384" width="9.140625" style="25"/>
  </cols>
  <sheetData>
    <row r="1" spans="1:30" x14ac:dyDescent="0.25">
      <c r="T1"/>
      <c r="AD1"/>
    </row>
    <row r="2" spans="1:30" ht="27.95" customHeight="1" x14ac:dyDescent="0.45">
      <c r="A2" s="24">
        <v>1</v>
      </c>
      <c r="B2" s="187" t="s">
        <v>101</v>
      </c>
      <c r="C2" s="188"/>
      <c r="D2" s="188"/>
      <c r="E2" s="188"/>
      <c r="F2" s="188"/>
      <c r="T2"/>
      <c r="AD2"/>
    </row>
    <row r="3" spans="1:30" x14ac:dyDescent="0.25">
      <c r="A3" s="26"/>
      <c r="T3"/>
      <c r="AD3"/>
    </row>
    <row r="4" spans="1:30" x14ac:dyDescent="0.25">
      <c r="A4" s="24">
        <v>2</v>
      </c>
      <c r="B4" s="27" t="s">
        <v>100</v>
      </c>
      <c r="C4" s="27"/>
      <c r="E4" s="191" t="s">
        <v>149</v>
      </c>
      <c r="F4" s="191"/>
    </row>
    <row r="5" spans="1:30" ht="21.75" customHeight="1" x14ac:dyDescent="0.25">
      <c r="E5" s="192" t="s">
        <v>150</v>
      </c>
      <c r="F5" s="193">
        <f>IFERROR(_xlfn.XLOOKUP($C$13,$C$75:$C$198,$P$75:$P$198,"",0),INDEX($P$75:$P$198,MATCH($C$13,$C$75:$C$198,0)))</f>
        <v>2153223.645709414</v>
      </c>
    </row>
    <row r="6" spans="1:30" x14ac:dyDescent="0.25">
      <c r="B6" s="28" t="s">
        <v>74</v>
      </c>
      <c r="C6" s="28"/>
      <c r="E6" s="192" t="s">
        <v>152</v>
      </c>
      <c r="F6" s="193">
        <f>IFERROR(_xlfn.XLOOKUP($C$13,$C$75:$C$198,$Q$75:$Q$198,"",0),INDEX($Q$75:$Q$198,MATCH($C$13,$C$75:$C$198,0)))</f>
        <v>1090337.8811699275</v>
      </c>
    </row>
    <row r="7" spans="1:30" ht="18" customHeight="1" x14ac:dyDescent="0.25">
      <c r="A7" s="24">
        <v>3</v>
      </c>
      <c r="B7" s="33" t="s">
        <v>0</v>
      </c>
      <c r="C7" s="34">
        <v>15000</v>
      </c>
      <c r="E7" s="192" t="s">
        <v>151</v>
      </c>
      <c r="F7" s="193">
        <f>IFERROR(_xlfn.XLOOKUP($C$13,$C$75:$C$198,$R$75:$R$198,"",0),INDEX($R$75:$R$198,MATCH($C$13,$C$75:$C$198,0)))</f>
        <v>1062885.7645394821</v>
      </c>
      <c r="T7"/>
    </row>
    <row r="8" spans="1:30" ht="18" customHeight="1" x14ac:dyDescent="0.25">
      <c r="A8" s="24">
        <v>4</v>
      </c>
      <c r="B8" s="35" t="s">
        <v>4</v>
      </c>
      <c r="C8" s="67">
        <v>43352</v>
      </c>
      <c r="E8" s="192" t="s">
        <v>153</v>
      </c>
      <c r="F8" s="193">
        <f>IFERROR(_xlfn.XLOOKUP($C$13,$C$75:$C$198,$S$75:$S$198,"",0),INDEX($S$75:$S$198,MATCH($C$13,$C$75:$C$198,0)))</f>
        <v>0</v>
      </c>
    </row>
    <row r="9" spans="1:30" ht="18" customHeight="1" x14ac:dyDescent="0.25">
      <c r="A9" s="24">
        <v>5</v>
      </c>
      <c r="B9" s="35" t="s">
        <v>73</v>
      </c>
      <c r="C9" s="67">
        <v>43352</v>
      </c>
      <c r="G9" s="194"/>
    </row>
    <row r="10" spans="1:30" ht="18" customHeight="1" x14ac:dyDescent="0.25">
      <c r="A10" s="24">
        <v>6</v>
      </c>
      <c r="B10" s="35" t="s">
        <v>75</v>
      </c>
      <c r="C10" s="157">
        <f>DATEDIF(C8,C11,"M")+1</f>
        <v>121</v>
      </c>
    </row>
    <row r="11" spans="1:30" ht="18" customHeight="1" x14ac:dyDescent="0.35">
      <c r="A11" s="24">
        <v>7</v>
      </c>
      <c r="B11" s="35" t="s">
        <v>6</v>
      </c>
      <c r="C11" s="67">
        <v>47005</v>
      </c>
      <c r="E11" s="125" t="s">
        <v>120</v>
      </c>
    </row>
    <row r="12" spans="1:30" ht="18" customHeight="1" x14ac:dyDescent="0.25">
      <c r="A12" s="24">
        <v>8</v>
      </c>
      <c r="B12" s="42" t="s">
        <v>76</v>
      </c>
      <c r="C12" s="36">
        <v>44205</v>
      </c>
      <c r="E12" s="114" t="s">
        <v>102</v>
      </c>
      <c r="F12" s="142">
        <v>7.0000000000000007E-2</v>
      </c>
      <c r="G12" s="165"/>
      <c r="H12" s="145"/>
      <c r="I12" s="146"/>
    </row>
    <row r="13" spans="1:30" ht="18" customHeight="1" x14ac:dyDescent="0.25">
      <c r="A13" s="24">
        <v>9</v>
      </c>
      <c r="B13" s="45" t="s">
        <v>77</v>
      </c>
      <c r="C13" s="157">
        <f>IFERROR(MATCH(C12,A75:A198,1),1)</f>
        <v>29</v>
      </c>
      <c r="E13" s="29" t="s">
        <v>108</v>
      </c>
      <c r="F13" s="168" t="s">
        <v>76</v>
      </c>
      <c r="G13" s="169">
        <f>C12</f>
        <v>44205</v>
      </c>
      <c r="H13" s="143"/>
      <c r="I13" s="144"/>
    </row>
    <row r="14" spans="1:30" ht="18" customHeight="1" x14ac:dyDescent="0.25">
      <c r="B14" s="45" t="s">
        <v>78</v>
      </c>
      <c r="C14" s="157">
        <f>MAX(0,C10-C13+1)</f>
        <v>93</v>
      </c>
      <c r="E14" s="84"/>
      <c r="F14" s="85" t="s">
        <v>81</v>
      </c>
      <c r="G14" s="85" t="s">
        <v>82</v>
      </c>
      <c r="H14" s="85" t="s">
        <v>83</v>
      </c>
      <c r="I14" s="86" t="s">
        <v>84</v>
      </c>
    </row>
    <row r="15" spans="1:30" ht="18" customHeight="1" x14ac:dyDescent="0.25">
      <c r="B15" s="45" t="s">
        <v>79</v>
      </c>
      <c r="C15" s="157">
        <f>C13</f>
        <v>29</v>
      </c>
      <c r="E15" s="37" t="s">
        <v>85</v>
      </c>
      <c r="F15" s="115">
        <v>0</v>
      </c>
      <c r="G15" s="76">
        <v>0.1</v>
      </c>
      <c r="H15" s="76">
        <v>0.2</v>
      </c>
      <c r="I15" s="38">
        <v>0.3</v>
      </c>
    </row>
    <row r="16" spans="1:30" ht="18" customHeight="1" x14ac:dyDescent="0.25">
      <c r="B16" s="45" t="s">
        <v>127</v>
      </c>
      <c r="C16" s="157">
        <f>12-MOD(C13-1,12)</f>
        <v>8</v>
      </c>
      <c r="E16" s="37" t="s">
        <v>136</v>
      </c>
      <c r="F16" s="116">
        <f>INDEX(E$75:E$198,MATCH($C$13,C$75:C$198,0))</f>
        <v>10609</v>
      </c>
      <c r="G16" s="77">
        <f>$F$16*(1-G15)</f>
        <v>9548.1</v>
      </c>
      <c r="H16" s="77">
        <f>$F$16*(1-H15)</f>
        <v>8487.2000000000007</v>
      </c>
      <c r="I16" s="39">
        <f>$F$16*(1-I15)</f>
        <v>7426.2999999999993</v>
      </c>
    </row>
    <row r="17" spans="1:10" ht="18" customHeight="1" x14ac:dyDescent="0.25">
      <c r="E17" s="40" t="s">
        <v>86</v>
      </c>
      <c r="F17" s="117">
        <f>IF($C$7=0,0,F16/$C$7)</f>
        <v>0.70726666666666671</v>
      </c>
      <c r="G17" s="78">
        <f>IF($C$7=0,0,G16/$C$7)</f>
        <v>0.63653999999999999</v>
      </c>
      <c r="H17" s="78">
        <f>IF($C$7=0,0,H16/$C$7)</f>
        <v>0.56581333333333339</v>
      </c>
      <c r="I17" s="41">
        <f>IF($C$7=0,0,I16/$C$7)</f>
        <v>0.49508666666666662</v>
      </c>
    </row>
    <row r="18" spans="1:10" ht="18" customHeight="1" x14ac:dyDescent="0.25">
      <c r="B18" s="27" t="s">
        <v>113</v>
      </c>
      <c r="C18" s="27"/>
      <c r="E18" s="37" t="s">
        <v>87</v>
      </c>
      <c r="F18" s="116">
        <f>INDEX(M$75:M$198,MATCH($C$13,C$75:C$198,0))</f>
        <v>10258.25</v>
      </c>
      <c r="G18" s="77">
        <f>F18</f>
        <v>10258.25</v>
      </c>
      <c r="H18" s="77">
        <f>G18</f>
        <v>10258.25</v>
      </c>
      <c r="I18" s="39">
        <f>H18</f>
        <v>10258.25</v>
      </c>
    </row>
    <row r="19" spans="1:10" ht="18" customHeight="1" x14ac:dyDescent="0.25">
      <c r="B19" s="27" t="s">
        <v>80</v>
      </c>
      <c r="C19" s="50">
        <f>C12</f>
        <v>44205</v>
      </c>
      <c r="E19" s="37" t="s">
        <v>88</v>
      </c>
      <c r="F19" s="118">
        <f>F16+F18</f>
        <v>20867.25</v>
      </c>
      <c r="G19" s="43">
        <f>G16+G18</f>
        <v>19806.349999999999</v>
      </c>
      <c r="H19" s="43">
        <f>H16+H18</f>
        <v>18745.45</v>
      </c>
      <c r="I19" s="44">
        <f>I16+I18</f>
        <v>17684.55</v>
      </c>
    </row>
    <row r="20" spans="1:10" ht="18" customHeight="1" x14ac:dyDescent="0.25">
      <c r="B20" s="35" t="s">
        <v>103</v>
      </c>
      <c r="C20" s="156" t="str">
        <f>TEXT(C12,"MMMM")</f>
        <v>January</v>
      </c>
      <c r="E20" s="37" t="s">
        <v>89</v>
      </c>
      <c r="F20" s="119">
        <f>IF($C$7=0,0,F19/$C$7)</f>
        <v>1.3911500000000001</v>
      </c>
      <c r="G20" s="79">
        <f>IF($C$7=0,0,G19/$C$7)</f>
        <v>1.3204233333333333</v>
      </c>
      <c r="H20" s="79">
        <f>IF($C$7=0,0,H19/$C$7)</f>
        <v>1.2496966666666667</v>
      </c>
      <c r="I20" s="46">
        <f>IF($C$7=0,0,I19/$C$7)</f>
        <v>1.1789699999999999</v>
      </c>
    </row>
    <row r="21" spans="1:10" ht="18" customHeight="1" x14ac:dyDescent="0.25">
      <c r="A21" s="24">
        <v>10</v>
      </c>
      <c r="B21" s="35" t="s">
        <v>99</v>
      </c>
      <c r="C21" s="52">
        <v>10000</v>
      </c>
      <c r="E21" s="161" t="s">
        <v>90</v>
      </c>
      <c r="F21" s="162" cm="1">
        <f t="array" ref="F21">SUMPRODUCT(($C$75:$C$198&gt;=IF($C$13=0,1,$C$13))*N$75:N$198)</f>
        <v>2153223.645709414</v>
      </c>
      <c r="G21" s="162" cm="1">
        <f t="array" ref="G21">SUMPRODUCT(($C$75:$C$198&gt;=IF($C$13=0,1,$C$13))*T$75:T$198)</f>
        <v>2044189.8575924204</v>
      </c>
      <c r="H21" s="162" cm="1">
        <f t="array" ref="H21">SUMPRODUCT(($C$75:$C$198&gt;=IF($C$13=0,1,$C$13))*U$75:U$198)</f>
        <v>1935156.0694754273</v>
      </c>
      <c r="I21" s="163" cm="1">
        <f t="array" ref="I21">SUMPRODUCT(($C$75:$C$198&gt;=IF($C$13=0,1,$C$13))*V$75:V$198)</f>
        <v>1826122.2813584334</v>
      </c>
    </row>
    <row r="22" spans="1:10" ht="18" customHeight="1" x14ac:dyDescent="0.25">
      <c r="A22" s="24">
        <v>11</v>
      </c>
      <c r="B22" s="54" t="s">
        <v>19</v>
      </c>
      <c r="C22" s="52">
        <v>1875</v>
      </c>
      <c r="E22" s="170" t="s">
        <v>135</v>
      </c>
      <c r="F22" s="174">
        <f>0</f>
        <v>0</v>
      </c>
      <c r="G22" s="171">
        <f>F21-G21</f>
        <v>109033.78811699362</v>
      </c>
      <c r="H22" s="171">
        <f>F21-H21</f>
        <v>218067.57623398677</v>
      </c>
      <c r="I22" s="172">
        <f>F21-I21</f>
        <v>327101.36435098061</v>
      </c>
    </row>
    <row r="23" spans="1:10" ht="18" customHeight="1" x14ac:dyDescent="0.25">
      <c r="A23" s="24">
        <v>12</v>
      </c>
      <c r="B23" s="54" t="s">
        <v>23</v>
      </c>
      <c r="C23" s="52">
        <v>3125</v>
      </c>
      <c r="E23" s="47" t="s">
        <v>91</v>
      </c>
      <c r="F23" s="160"/>
      <c r="G23" s="77">
        <f>G16*$F$23</f>
        <v>0</v>
      </c>
      <c r="H23" s="77">
        <f>H16*$F$23</f>
        <v>0</v>
      </c>
      <c r="I23" s="39">
        <f>I16*$F$23</f>
        <v>0</v>
      </c>
    </row>
    <row r="24" spans="1:10" ht="18" customHeight="1" x14ac:dyDescent="0.25">
      <c r="B24" s="60" t="s">
        <v>15</v>
      </c>
      <c r="C24" s="52">
        <v>3750</v>
      </c>
      <c r="E24" s="47" t="s">
        <v>92</v>
      </c>
      <c r="F24" s="121"/>
      <c r="G24" s="77">
        <f>$F$24*$C$7</f>
        <v>0</v>
      </c>
      <c r="H24" s="77">
        <f>$F$24*$C$7</f>
        <v>0</v>
      </c>
      <c r="I24" s="39">
        <f>$F$24*$C$7</f>
        <v>0</v>
      </c>
    </row>
    <row r="25" spans="1:10" x14ac:dyDescent="0.25">
      <c r="B25" s="54" t="s">
        <v>27</v>
      </c>
      <c r="C25" s="52">
        <v>625</v>
      </c>
      <c r="E25" s="48" t="s">
        <v>119</v>
      </c>
      <c r="F25" s="80" t="s">
        <v>95</v>
      </c>
      <c r="G25" s="81">
        <f>SUM(G22:G24)</f>
        <v>109033.78811699362</v>
      </c>
      <c r="H25" s="81">
        <f>SUM(H22:H24)</f>
        <v>218067.57623398677</v>
      </c>
      <c r="I25" s="49">
        <f>SUM(I22:I24)</f>
        <v>327101.36435098061</v>
      </c>
    </row>
    <row r="26" spans="1:10" x14ac:dyDescent="0.25">
      <c r="B26" s="54" t="s">
        <v>30</v>
      </c>
      <c r="C26" s="52">
        <v>312.5</v>
      </c>
      <c r="E26" s="135" t="s">
        <v>93</v>
      </c>
      <c r="F26" s="136" cm="1">
        <f t="array" ref="F26">SUMPRODUCT(($C$75:$C$198&gt;=IF($C$13=0,1,$C$13))*N$75:N$198/(1+$F$12/12)^($C$75:$C$198-IF($C$13=0,0,$C$13)+1))</f>
        <v>1638686.8050654703</v>
      </c>
      <c r="G26" s="137" cm="1">
        <f t="array" ref="G26">SUMPRODUCT(($C$75:$C$198&gt;=IF($C$13=0,1,$C$13))*T$75:T$198/(1+$F$12/12)^($C$75:$C$198-IF($C$13=0,0,$C$13)+1))</f>
        <v>1555861.042730995</v>
      </c>
      <c r="H26" s="137" cm="1">
        <f t="array" ref="H26">SUMPRODUCT(($C$75:$C$198&gt;=IF($C$13=0,1,$C$13))*U$75:U$198/(1+$F$12/12)^($C$75:$C$198-IF($C$13=0,0,$C$13)+1))</f>
        <v>1473035.2803965206</v>
      </c>
      <c r="I26" s="138" cm="1">
        <f t="array" ref="I26">SUMPRODUCT(($C$75:$C$198&gt;=IF($C$13=0,1,$C$13))*V$75:V$198/(1+$F$12/12)^($C$75:$C$198-IF($C$13=0,0,$C$13)+1))</f>
        <v>1390209.5180620451</v>
      </c>
    </row>
    <row r="27" spans="1:10" x14ac:dyDescent="0.25">
      <c r="E27" s="47" t="s">
        <v>94</v>
      </c>
      <c r="F27" s="122" t="s">
        <v>95</v>
      </c>
      <c r="G27" s="82">
        <f>F26-G26</f>
        <v>82825.762334475294</v>
      </c>
      <c r="H27" s="82">
        <f>F26-H26</f>
        <v>165651.52466894966</v>
      </c>
      <c r="I27" s="51">
        <f>F26-I26</f>
        <v>248477.28700342518</v>
      </c>
    </row>
    <row r="28" spans="1:10" x14ac:dyDescent="0.25">
      <c r="B28" s="27" t="s">
        <v>125</v>
      </c>
      <c r="C28" s="27"/>
      <c r="E28" s="47" t="s">
        <v>96</v>
      </c>
      <c r="F28" s="122" t="s">
        <v>95</v>
      </c>
      <c r="G28" s="83">
        <f>IFERROR((F26-G26)/F26,0)</f>
        <v>5.0543985634378841E-2</v>
      </c>
      <c r="H28" s="83">
        <f>IFERROR((F26-H26)/F26,0)</f>
        <v>0.10108797126875711</v>
      </c>
      <c r="I28" s="53">
        <f>IFERROR((F26-I26)/F26,0)</f>
        <v>0.15163195690313611</v>
      </c>
    </row>
    <row r="29" spans="1:10" x14ac:dyDescent="0.25">
      <c r="B29" s="35" t="s">
        <v>9</v>
      </c>
      <c r="C29" s="32">
        <v>0.03</v>
      </c>
      <c r="E29" s="55" t="s">
        <v>128</v>
      </c>
      <c r="F29" s="123">
        <f>SUM(N75:N198)</f>
        <v>2691076.8457094128</v>
      </c>
      <c r="G29" s="56">
        <f>SUM(T75:T198)</f>
        <v>2555948.5375924227</v>
      </c>
      <c r="H29" s="56">
        <f>SUM(U75:U198)</f>
        <v>2420820.2294754251</v>
      </c>
      <c r="I29" s="57">
        <f>SUM(V75:V198)</f>
        <v>2285691.921358434</v>
      </c>
    </row>
    <row r="30" spans="1:10" x14ac:dyDescent="0.25">
      <c r="B30" s="54" t="s">
        <v>17</v>
      </c>
      <c r="C30" s="32">
        <v>0.03</v>
      </c>
      <c r="E30" s="58" t="s">
        <v>129</v>
      </c>
      <c r="F30" s="124">
        <f>F18*(1-F15)</f>
        <v>10258.25</v>
      </c>
      <c r="G30" s="59">
        <f>F18*(1-G15)</f>
        <v>9232.4250000000011</v>
      </c>
      <c r="H30" s="59">
        <f>F18*(1-H15)</f>
        <v>8206.6</v>
      </c>
      <c r="I30" s="59">
        <f>F18*(1-I15)</f>
        <v>7180.7749999999996</v>
      </c>
    </row>
    <row r="31" spans="1:10" x14ac:dyDescent="0.25">
      <c r="B31" s="54" t="s">
        <v>21</v>
      </c>
      <c r="C31" s="32">
        <v>0.03</v>
      </c>
    </row>
    <row r="32" spans="1:10" ht="31.5" x14ac:dyDescent="0.25">
      <c r="B32" s="54" t="s">
        <v>25</v>
      </c>
      <c r="C32" s="32">
        <v>0.03</v>
      </c>
      <c r="E32" s="29" t="s">
        <v>109</v>
      </c>
      <c r="F32" s="167" t="s">
        <v>76</v>
      </c>
      <c r="G32" s="166">
        <f>C12</f>
        <v>44205</v>
      </c>
      <c r="H32" s="30"/>
      <c r="I32" s="30"/>
      <c r="J32" s="31"/>
    </row>
    <row r="33" spans="1:10" x14ac:dyDescent="0.25">
      <c r="B33" s="54" t="s">
        <v>29</v>
      </c>
      <c r="C33" s="32">
        <v>0.02</v>
      </c>
      <c r="E33" s="148"/>
      <c r="F33" s="85" t="s">
        <v>139</v>
      </c>
      <c r="G33" s="85" t="s">
        <v>140</v>
      </c>
      <c r="H33" s="85" t="s">
        <v>141</v>
      </c>
      <c r="I33" s="85" t="s">
        <v>142</v>
      </c>
      <c r="J33" s="86" t="s">
        <v>143</v>
      </c>
    </row>
    <row r="34" spans="1:10" x14ac:dyDescent="0.25">
      <c r="B34" s="62" t="s">
        <v>31</v>
      </c>
      <c r="C34" s="32">
        <v>0.02</v>
      </c>
      <c r="E34" s="37" t="s">
        <v>110</v>
      </c>
      <c r="F34" s="115">
        <v>0</v>
      </c>
      <c r="G34" s="147">
        <v>0.2</v>
      </c>
      <c r="H34" s="147">
        <v>0.3</v>
      </c>
      <c r="I34" s="147">
        <v>0.4</v>
      </c>
      <c r="J34" s="38">
        <v>0.5</v>
      </c>
    </row>
    <row r="35" spans="1:10" x14ac:dyDescent="0.25">
      <c r="B35" s="63"/>
      <c r="E35" s="37" t="s">
        <v>136</v>
      </c>
      <c r="F35" s="116">
        <f>F16</f>
        <v>10609</v>
      </c>
      <c r="G35" s="127">
        <f>F35</f>
        <v>10609</v>
      </c>
      <c r="H35" s="127">
        <f>F35</f>
        <v>10609</v>
      </c>
      <c r="I35" s="127">
        <f>F35</f>
        <v>10609</v>
      </c>
      <c r="J35" s="39">
        <f>F35</f>
        <v>10609</v>
      </c>
    </row>
    <row r="36" spans="1:10" x14ac:dyDescent="0.25">
      <c r="B36" s="64" t="s">
        <v>112</v>
      </c>
      <c r="C36" s="64"/>
      <c r="E36" s="40" t="s">
        <v>86</v>
      </c>
      <c r="F36" s="126">
        <f>IF($C$7=0,0,F35/$C$7)</f>
        <v>0.70726666666666671</v>
      </c>
      <c r="G36" s="128">
        <f>IF($C$7=0,0,G35/$C$7)</f>
        <v>0.70726666666666671</v>
      </c>
      <c r="H36" s="128">
        <f>IF($C$7=0,0,H35/$C$7)</f>
        <v>0.70726666666666671</v>
      </c>
      <c r="I36" s="128">
        <f>IF($C$7=0,0,I35/$C$7)</f>
        <v>0.70726666666666671</v>
      </c>
      <c r="J36" s="61">
        <f>IF($C$7=0,0,J35/$C$7)</f>
        <v>0.70726666666666671</v>
      </c>
    </row>
    <row r="37" spans="1:10" x14ac:dyDescent="0.25">
      <c r="B37" s="65" t="s">
        <v>106</v>
      </c>
      <c r="C37" s="66">
        <v>1</v>
      </c>
      <c r="E37" s="37" t="s">
        <v>137</v>
      </c>
      <c r="F37" s="116">
        <f>F18</f>
        <v>10258.25</v>
      </c>
      <c r="G37" s="127">
        <f>F37</f>
        <v>10258.25</v>
      </c>
      <c r="H37" s="127">
        <f>F37</f>
        <v>10258.25</v>
      </c>
      <c r="I37" s="127">
        <f>F37</f>
        <v>10258.25</v>
      </c>
      <c r="J37" s="61"/>
    </row>
    <row r="38" spans="1:10" x14ac:dyDescent="0.25">
      <c r="B38" s="65" t="s">
        <v>104</v>
      </c>
      <c r="C38" s="67">
        <v>43956</v>
      </c>
      <c r="E38" s="37" t="s">
        <v>88</v>
      </c>
      <c r="F38" s="118">
        <f>F35+F37</f>
        <v>20867.25</v>
      </c>
      <c r="G38" s="129">
        <f>G35+G37</f>
        <v>20867.25</v>
      </c>
      <c r="H38" s="129">
        <f>H35+H37</f>
        <v>20867.25</v>
      </c>
      <c r="I38" s="129">
        <f>I35+I37</f>
        <v>20867.25</v>
      </c>
      <c r="J38" s="61"/>
    </row>
    <row r="39" spans="1:10" x14ac:dyDescent="0.25">
      <c r="B39" s="65" t="s">
        <v>105</v>
      </c>
      <c r="C39" s="67">
        <v>44321</v>
      </c>
      <c r="E39" s="37" t="s">
        <v>89</v>
      </c>
      <c r="F39" s="119">
        <f>IF($C$7=0,0,F38/$C$7)</f>
        <v>1.3911500000000001</v>
      </c>
      <c r="G39" s="130">
        <f>IF($C$7=0,0,G38/$C$7)</f>
        <v>1.3911500000000001</v>
      </c>
      <c r="H39" s="130">
        <f>IF($C$7=0,0,H38/$C$7)</f>
        <v>1.3911500000000001</v>
      </c>
      <c r="I39" s="130">
        <f>IF($C$7=0,0,I38/$C$7)</f>
        <v>1.3911500000000001</v>
      </c>
      <c r="J39" s="61"/>
    </row>
    <row r="40" spans="1:10" ht="31.5" x14ac:dyDescent="0.25">
      <c r="B40" s="65" t="s">
        <v>134</v>
      </c>
      <c r="C40" s="158">
        <f>IF(C21=0,0,C41/C21)</f>
        <v>0.3</v>
      </c>
      <c r="E40" s="161" t="s">
        <v>138</v>
      </c>
      <c r="F40" s="162">
        <f>F21</f>
        <v>2153223.645709414</v>
      </c>
      <c r="G40" s="164">
        <f>F40*(1-G34)</f>
        <v>1722578.9165675314</v>
      </c>
      <c r="H40" s="164">
        <f>F40*(1-H34)</f>
        <v>1507256.5519965896</v>
      </c>
      <c r="I40" s="164">
        <f>F40*(1-I34)</f>
        <v>1291934.1874256483</v>
      </c>
      <c r="J40" s="175">
        <f>F40*(1-J34)</f>
        <v>1076611.822854707</v>
      </c>
    </row>
    <row r="41" spans="1:10" x14ac:dyDescent="0.25">
      <c r="A41" s="24">
        <v>13</v>
      </c>
      <c r="B41" s="65" t="s">
        <v>107</v>
      </c>
      <c r="C41" s="69">
        <v>3000</v>
      </c>
      <c r="E41" s="170" t="s">
        <v>135</v>
      </c>
      <c r="F41" s="174">
        <f>0</f>
        <v>0</v>
      </c>
      <c r="G41" s="173">
        <f>F40-G40</f>
        <v>430644.72914188262</v>
      </c>
      <c r="H41" s="173">
        <f>F40-H40</f>
        <v>645967.0937128244</v>
      </c>
      <c r="I41" s="173">
        <f>F40-I40</f>
        <v>861289.45828376571</v>
      </c>
      <c r="J41" s="176">
        <f>F40-J40</f>
        <v>1076611.822854707</v>
      </c>
    </row>
    <row r="42" spans="1:10" ht="47.25" x14ac:dyDescent="0.25">
      <c r="A42" s="24">
        <v>14</v>
      </c>
      <c r="B42" s="177" t="s">
        <v>132</v>
      </c>
      <c r="C42" s="70" t="s">
        <v>126</v>
      </c>
      <c r="E42" s="47" t="s">
        <v>91</v>
      </c>
      <c r="F42" s="120"/>
      <c r="G42" s="127">
        <f>F35*$F$42</f>
        <v>0</v>
      </c>
      <c r="H42" s="127">
        <f>F35*$F$42</f>
        <v>0</v>
      </c>
      <c r="I42" s="127">
        <f>F35*$F$42</f>
        <v>0</v>
      </c>
      <c r="J42" s="61"/>
    </row>
    <row r="43" spans="1:10" x14ac:dyDescent="0.25">
      <c r="E43" s="47" t="s">
        <v>92</v>
      </c>
      <c r="F43" s="121"/>
      <c r="G43" s="127">
        <f>$F$24*$C$7</f>
        <v>0</v>
      </c>
      <c r="H43" s="127">
        <f>$F$24*$C$7</f>
        <v>0</v>
      </c>
      <c r="I43" s="127">
        <f>$F$24*$C$7</f>
        <v>0</v>
      </c>
      <c r="J43" s="61"/>
    </row>
    <row r="44" spans="1:10" x14ac:dyDescent="0.25">
      <c r="A44" s="24">
        <v>15</v>
      </c>
      <c r="B44" s="64" t="s">
        <v>114</v>
      </c>
      <c r="C44" s="64"/>
      <c r="E44" s="48" t="s">
        <v>119</v>
      </c>
      <c r="F44" s="141" t="str">
        <f>"-"</f>
        <v>-</v>
      </c>
      <c r="G44" s="139">
        <f>SUM(G41:G43)</f>
        <v>430644.72914188262</v>
      </c>
      <c r="H44" s="139">
        <f>SUM(H41:H43)</f>
        <v>645967.0937128244</v>
      </c>
      <c r="I44" s="139">
        <f>SUM(I41:I43)</f>
        <v>861289.45828376571</v>
      </c>
      <c r="J44" s="140">
        <f>SUM(J41:J43)</f>
        <v>1076611.822854707</v>
      </c>
    </row>
    <row r="45" spans="1:10" x14ac:dyDescent="0.25">
      <c r="B45" s="65" t="s">
        <v>115</v>
      </c>
      <c r="C45" s="159">
        <v>0</v>
      </c>
      <c r="E45" s="37" t="s">
        <v>93</v>
      </c>
      <c r="F45" s="116">
        <f>F26</f>
        <v>1638686.8050654703</v>
      </c>
      <c r="G45" s="131">
        <f>F26*(1-G34)</f>
        <v>1310949.4440523763</v>
      </c>
      <c r="H45" s="131">
        <f>F26*(1-H34)</f>
        <v>1147080.7635458291</v>
      </c>
      <c r="I45" s="77">
        <f>F26*(1-I34)</f>
        <v>983212.08303928212</v>
      </c>
      <c r="J45" s="39">
        <f>F26*(1-J34)</f>
        <v>819343.40253273514</v>
      </c>
    </row>
    <row r="46" spans="1:10" x14ac:dyDescent="0.25">
      <c r="B46" s="65" t="s">
        <v>116</v>
      </c>
      <c r="C46" s="67">
        <v>43352</v>
      </c>
      <c r="E46" s="47" t="s">
        <v>94</v>
      </c>
      <c r="F46" s="122" t="s">
        <v>95</v>
      </c>
      <c r="G46" s="132">
        <f>F45-G45</f>
        <v>327737.36101309396</v>
      </c>
      <c r="H46" s="132">
        <f>F45-H45</f>
        <v>491606.04151964118</v>
      </c>
      <c r="I46" s="82">
        <f>F45-I45</f>
        <v>655474.72202618816</v>
      </c>
      <c r="J46" s="51">
        <f>F45-J45</f>
        <v>819343.40253273514</v>
      </c>
    </row>
    <row r="47" spans="1:10" x14ac:dyDescent="0.25">
      <c r="B47" s="65" t="s">
        <v>117</v>
      </c>
      <c r="C47" s="67">
        <v>43413</v>
      </c>
      <c r="E47" s="47" t="s">
        <v>96</v>
      </c>
      <c r="F47" s="122" t="s">
        <v>95</v>
      </c>
      <c r="G47" s="133">
        <f>IFERROR((F45-G45)/F45,0)</f>
        <v>0.19999999999999996</v>
      </c>
      <c r="H47" s="133">
        <f>IFERROR((F45-H45)/F45,0)</f>
        <v>0.30000000000000004</v>
      </c>
      <c r="I47" s="83">
        <f>IFERROR((F45-I45)/F45,0)</f>
        <v>0.4</v>
      </c>
      <c r="J47" s="53">
        <f>IFERROR((F45-J45)/F45,0)</f>
        <v>0.5</v>
      </c>
    </row>
    <row r="48" spans="1:10" x14ac:dyDescent="0.25">
      <c r="B48" s="65" t="s">
        <v>118</v>
      </c>
      <c r="C48" s="68">
        <v>1</v>
      </c>
      <c r="E48" s="55" t="s">
        <v>128</v>
      </c>
      <c r="F48" s="123">
        <f>SUM(N75:N198)</f>
        <v>2691076.8457094128</v>
      </c>
      <c r="G48" s="134">
        <f>SUM(T75:T198)</f>
        <v>2555948.5375924227</v>
      </c>
      <c r="H48" s="134">
        <f>SUM(U75:U198)</f>
        <v>2420820.2294754251</v>
      </c>
      <c r="I48" s="56">
        <f>SUM(V75:V198)</f>
        <v>2285691.921358434</v>
      </c>
      <c r="J48" s="57">
        <f>SUM(AA75:AA198)</f>
        <v>2015435.3051244507</v>
      </c>
    </row>
    <row r="49" spans="1:10" ht="47.25" x14ac:dyDescent="0.25">
      <c r="B49" s="177" t="s">
        <v>131</v>
      </c>
      <c r="C49" s="70" t="s">
        <v>133</v>
      </c>
      <c r="E49" s="58" t="s">
        <v>130</v>
      </c>
      <c r="F49" s="124">
        <f>F29*(1-F34)</f>
        <v>2691076.8457094128</v>
      </c>
      <c r="G49" s="59">
        <f>F29*(1-G34)</f>
        <v>2152861.4765675305</v>
      </c>
      <c r="H49" s="59">
        <f>F29*(1-H34)</f>
        <v>1883753.7919965889</v>
      </c>
      <c r="I49" s="59">
        <f>F29*(1-I34)</f>
        <v>1614646.1074256476</v>
      </c>
      <c r="J49" s="59">
        <f>F29*(1-J34)</f>
        <v>1345538.4228547064</v>
      </c>
    </row>
    <row r="53" spans="1:10" x14ac:dyDescent="0.25">
      <c r="A53" s="24">
        <v>16</v>
      </c>
      <c r="B53" s="28" t="s">
        <v>111</v>
      </c>
      <c r="C53" s="28"/>
      <c r="D53" s="28"/>
    </row>
    <row r="54" spans="1:10" ht="31.5" x14ac:dyDescent="0.25">
      <c r="B54" s="28" t="s">
        <v>1</v>
      </c>
      <c r="C54" s="28" t="s">
        <v>2</v>
      </c>
      <c r="D54" s="28" t="s">
        <v>3</v>
      </c>
    </row>
    <row r="55" spans="1:10" x14ac:dyDescent="0.25">
      <c r="B55" s="71" t="s">
        <v>5</v>
      </c>
      <c r="C55" s="52">
        <v>45000</v>
      </c>
      <c r="D55" s="72">
        <v>43352</v>
      </c>
    </row>
    <row r="56" spans="1:10" x14ac:dyDescent="0.25">
      <c r="B56" s="71" t="s">
        <v>7</v>
      </c>
      <c r="C56" s="52">
        <v>-150000</v>
      </c>
      <c r="D56" s="72">
        <v>43497</v>
      </c>
    </row>
    <row r="57" spans="1:10" x14ac:dyDescent="0.25">
      <c r="B57" s="71" t="s">
        <v>8</v>
      </c>
      <c r="C57" s="52">
        <v>-75000</v>
      </c>
      <c r="D57" s="72">
        <v>43586</v>
      </c>
    </row>
    <row r="58" spans="1:10" x14ac:dyDescent="0.25">
      <c r="B58" s="71" t="s">
        <v>10</v>
      </c>
      <c r="C58" s="52">
        <v>-60000</v>
      </c>
      <c r="D58" s="72">
        <v>43717</v>
      </c>
    </row>
    <row r="59" spans="1:10" x14ac:dyDescent="0.25">
      <c r="B59" s="71" t="s">
        <v>12</v>
      </c>
      <c r="C59" s="52">
        <v>-18000</v>
      </c>
      <c r="D59" s="155">
        <v>43383</v>
      </c>
    </row>
    <row r="60" spans="1:10" x14ac:dyDescent="0.25">
      <c r="B60" s="71" t="s">
        <v>13</v>
      </c>
      <c r="C60" s="52">
        <v>-120000</v>
      </c>
      <c r="D60" s="72">
        <v>43352</v>
      </c>
    </row>
    <row r="61" spans="1:10" x14ac:dyDescent="0.25">
      <c r="B61" s="71" t="s">
        <v>14</v>
      </c>
      <c r="C61" s="52">
        <v>103125</v>
      </c>
      <c r="D61" s="72">
        <v>43352</v>
      </c>
    </row>
    <row r="62" spans="1:10" x14ac:dyDescent="0.25">
      <c r="B62" s="71" t="s">
        <v>16</v>
      </c>
      <c r="C62" s="52">
        <v>51562.5</v>
      </c>
      <c r="D62" s="72">
        <v>43352</v>
      </c>
    </row>
    <row r="63" spans="1:10" x14ac:dyDescent="0.25">
      <c r="B63" s="71" t="s">
        <v>18</v>
      </c>
      <c r="C63" s="52">
        <v>12000</v>
      </c>
      <c r="D63" s="72">
        <v>43352</v>
      </c>
    </row>
    <row r="64" spans="1:10" x14ac:dyDescent="0.25">
      <c r="B64" s="71" t="s">
        <v>20</v>
      </c>
      <c r="C64" s="52">
        <v>10200</v>
      </c>
      <c r="D64" s="72">
        <v>43536</v>
      </c>
    </row>
    <row r="65" spans="1:27" x14ac:dyDescent="0.25">
      <c r="B65" s="71" t="s">
        <v>22</v>
      </c>
      <c r="C65" s="52">
        <v>5040</v>
      </c>
      <c r="D65" s="72">
        <v>43625</v>
      </c>
    </row>
    <row r="66" spans="1:27" x14ac:dyDescent="0.25">
      <c r="B66" s="71" t="s">
        <v>24</v>
      </c>
      <c r="C66" s="52">
        <v>15300</v>
      </c>
      <c r="D66" s="72">
        <v>43748</v>
      </c>
    </row>
    <row r="67" spans="1:27" x14ac:dyDescent="0.25">
      <c r="B67" s="71" t="s">
        <v>26</v>
      </c>
      <c r="C67" s="52">
        <v>30000</v>
      </c>
      <c r="D67" s="71">
        <v>43891</v>
      </c>
    </row>
    <row r="68" spans="1:27" x14ac:dyDescent="0.25">
      <c r="B68" s="73" t="s">
        <v>28</v>
      </c>
      <c r="C68" s="74">
        <f>SUM(C55:C67)</f>
        <v>-150772.5</v>
      </c>
      <c r="D68" s="75" t="s">
        <v>11</v>
      </c>
    </row>
    <row r="73" spans="1:27" x14ac:dyDescent="0.25">
      <c r="A73" s="152"/>
      <c r="B73" s="154" t="s">
        <v>98</v>
      </c>
      <c r="C73" s="152"/>
      <c r="D73" s="152"/>
      <c r="E73" s="152"/>
      <c r="F73" s="152"/>
      <c r="G73" s="152"/>
      <c r="H73" s="152"/>
      <c r="I73" s="152"/>
      <c r="J73" s="152"/>
      <c r="K73" s="153"/>
      <c r="L73" s="153"/>
      <c r="M73" s="153"/>
      <c r="N73" s="153"/>
      <c r="O73" s="153"/>
      <c r="P73" s="153"/>
      <c r="Q73" s="153"/>
      <c r="R73" s="153"/>
      <c r="S73" s="153"/>
      <c r="T73" s="189" t="s">
        <v>124</v>
      </c>
      <c r="U73" s="189"/>
      <c r="V73" s="189"/>
      <c r="W73" s="190"/>
      <c r="X73" s="190"/>
      <c r="Y73" s="190"/>
      <c r="Z73" s="190"/>
      <c r="AA73" s="190"/>
    </row>
    <row r="74" spans="1:27" ht="63.75" thickBot="1" x14ac:dyDescent="0.3">
      <c r="A74" s="87" t="s">
        <v>32</v>
      </c>
      <c r="B74" s="88" t="s">
        <v>33</v>
      </c>
      <c r="C74" s="88" t="s">
        <v>34</v>
      </c>
      <c r="D74" s="88" t="s">
        <v>35</v>
      </c>
      <c r="E74" s="88" t="s">
        <v>36</v>
      </c>
      <c r="F74" s="88" t="s">
        <v>37</v>
      </c>
      <c r="G74" s="88" t="s">
        <v>97</v>
      </c>
      <c r="H74" s="88" t="s">
        <v>38</v>
      </c>
      <c r="I74" s="88" t="s">
        <v>39</v>
      </c>
      <c r="J74" s="88" t="s">
        <v>40</v>
      </c>
      <c r="K74" s="88" t="s">
        <v>41</v>
      </c>
      <c r="L74" s="88" t="s">
        <v>42</v>
      </c>
      <c r="M74" s="88" t="s">
        <v>43</v>
      </c>
      <c r="N74" s="88" t="s">
        <v>44</v>
      </c>
      <c r="O74" s="88" t="s">
        <v>45</v>
      </c>
      <c r="P74" s="88" t="s">
        <v>46</v>
      </c>
      <c r="Q74" s="88" t="s">
        <v>47</v>
      </c>
      <c r="R74" s="88" t="s">
        <v>48</v>
      </c>
      <c r="S74" s="89" t="s">
        <v>49</v>
      </c>
      <c r="T74" s="149" t="s">
        <v>121</v>
      </c>
      <c r="U74" s="149" t="s">
        <v>122</v>
      </c>
      <c r="V74" s="149" t="s">
        <v>123</v>
      </c>
      <c r="W74" s="184" t="s">
        <v>144</v>
      </c>
      <c r="X74" s="185" t="s">
        <v>145</v>
      </c>
      <c r="Y74" s="185" t="s">
        <v>146</v>
      </c>
      <c r="Z74" s="185" t="s">
        <v>147</v>
      </c>
      <c r="AA74" s="186" t="s">
        <v>148</v>
      </c>
    </row>
    <row r="75" spans="1:27" x14ac:dyDescent="0.25">
      <c r="A75" s="90">
        <f>$C$8</f>
        <v>43352</v>
      </c>
      <c r="B75" s="91">
        <f>EDATE($C$8,1)-1</f>
        <v>43381</v>
      </c>
      <c r="C75" s="92">
        <f>ROW()-ROW($C$74)</f>
        <v>1</v>
      </c>
      <c r="D75" s="92">
        <f t="shared" ref="D75:D106" si="0">INT((C75-1)/12)+1</f>
        <v>1</v>
      </c>
      <c r="E75" s="93">
        <f t="shared" ref="E75:E106" si="1">IF(C75&gt;$C$10,0,$C$21*(1+$C$29)^(D75-1))</f>
        <v>10000</v>
      </c>
      <c r="F75" s="94">
        <f>IF(C75&gt;$C$10,0,IF(AND($C$38&gt;0,A75&gt;=$C$38,EOMONTH(A75,0)&lt;=$C$39),E75*(1-$C$40),E75))</f>
        <v>10000</v>
      </c>
      <c r="G75" s="95">
        <f>IF(C75&gt;$C$10,0,IF(AND($C$38&gt;0,A75&gt;=$C$38,EOMONTH(A75,0)&lt;=$C$39),-E75*$C$40,0))</f>
        <v>0</v>
      </c>
      <c r="H75" s="94">
        <f t="shared" ref="H75:H106" si="2">IF(C75&gt;$C$10,0,$C$24*(1+$C$30)^(D75-1))</f>
        <v>3750</v>
      </c>
      <c r="I75" s="94">
        <f t="shared" ref="I75:I106" si="3">IF(C75&gt;$C$10,0,$C$22*(1+$C$31)^(D75-1))</f>
        <v>1875</v>
      </c>
      <c r="J75" s="94">
        <f t="shared" ref="J75:J106" si="4">IF(C75&gt;$C$10,0,$C$23*(1+$C$32)^(D75-1))</f>
        <v>3125</v>
      </c>
      <c r="K75" s="94">
        <f t="shared" ref="K75:K106" si="5">IF(C75&gt;$C$10,0,$C$25*(1+$C$33)^(D75-1))</f>
        <v>625</v>
      </c>
      <c r="L75" s="94">
        <f t="shared" ref="L75:L106" si="6">IF(C75&gt;$C$10,0,$C$26*(1+$C$34)^(D75-1))</f>
        <v>312.5</v>
      </c>
      <c r="M75" s="94">
        <f t="shared" ref="M75:M138" si="7">H75+I75+J75+K75+L75</f>
        <v>9687.5</v>
      </c>
      <c r="N75" s="93">
        <f t="shared" ref="N75:N106" si="8">F75+M75</f>
        <v>19687.5</v>
      </c>
      <c r="O75" s="96">
        <f t="shared" ref="O75:O138" si="9">IF($C$7=0,0,N75/$C$7)</f>
        <v>1.3125</v>
      </c>
      <c r="P75" s="93">
        <f>MAX(SUM(N75:N198)+S75,0)</f>
        <v>2540304.3457094128</v>
      </c>
      <c r="Q75" s="93">
        <f>SUM(F75:F198)</f>
        <v>1351283.0811699287</v>
      </c>
      <c r="R75" s="93">
        <f>SUM(M75:M198)</f>
        <v>1339793.7645394844</v>
      </c>
      <c r="S75" s="97">
        <f>SUMPRODUCT(($C$55:$C$67)*($D$55:$D$67&gt;=$A75))</f>
        <v>-150772.5</v>
      </c>
      <c r="T75" s="150">
        <f>IF(C75&gt;$C$10,0,IF(AND($C$38&gt;0,A75&gt;=$C$38,EOMONTH(A75,0)&lt;=$C$39),E75*(1-$C$40)*(1-G$15),E75*(1-G$15)))+M75</f>
        <v>18687.5</v>
      </c>
      <c r="U75" s="150">
        <f>IF(C75&gt;$C$10,0,IF(AND($C$38&gt;0,A75&gt;=$C$38,EOMONTH(A75,0)&lt;=$C$39),E75*(1-$C$40)*(1-H$15),E75*(1-H$15)))+M75</f>
        <v>17687.5</v>
      </c>
      <c r="V75" s="150">
        <f>IF(C75&gt;$C$10,0,IF(AND($C$38&gt;0,A75&gt;=$C$38,EOMONTH(A75,0)&lt;=$C$39),E75*(1-$C$40)*(1-I$15),E75*(1-I$15)))+M75</f>
        <v>16687.5</v>
      </c>
      <c r="W75" s="181">
        <f>IF(C75&gt;$C$10,0,IF(AND($C$38&gt;0,A75&gt;=$C$38,EOMONTH(A75,0)&lt;=$C$39),E75*(1-$C$40)*(1-F$34),E75*(1-F$34)))+M75</f>
        <v>19687.5</v>
      </c>
      <c r="X75" s="179">
        <f>IF(C75&gt;$C$10,0,IF(AND($C$38&gt;0,A75&gt;=$C$38,EOMONTH(A75,0)&lt;=$C$39),E75*(1-$C$40)*(1-G$34),E75*(1-G$34)))+M75</f>
        <v>17687.5</v>
      </c>
      <c r="Y75" s="178">
        <f>IF(C75&gt;$C$10,0,IF(AND($C$38&gt;0,A75&gt;=$C$38,EOMONTH(A75,0)&lt;=$C$39),E75*(1-$C$40)*(1-H$34),E75*(1-H$34)))+M75</f>
        <v>16687.5</v>
      </c>
      <c r="Z75" s="179">
        <f>IF(C75&gt;$C$10,0,IF(AND($C$38&gt;0,A75&gt;=$C$38,EOMONTH(A75,0)&lt;=$C$39),E75*(1-$C$40)*(1-I$34),E75*(1-I$34)))+M75</f>
        <v>15687.5</v>
      </c>
      <c r="AA75" s="180">
        <f>IF(C75&gt;$C$10,0,IF(AND($C$38&gt;0,A75&gt;=$C$38,EOMONTH(A75,0)&lt;=$C$39),E75*(1-$C$40)*(1-J$34),E75*(1-J$34)))+M75</f>
        <v>14687.5</v>
      </c>
    </row>
    <row r="76" spans="1:27" x14ac:dyDescent="0.25">
      <c r="A76" s="90">
        <f>EDATE($C$8,1)</f>
        <v>43382</v>
      </c>
      <c r="B76" s="91">
        <f>EDATE($C$8,2)-1</f>
        <v>43412</v>
      </c>
      <c r="C76" s="92">
        <f t="shared" ref="C76:C139" si="10">ROW()-ROW($C$74)</f>
        <v>2</v>
      </c>
      <c r="D76" s="92">
        <f t="shared" si="0"/>
        <v>1</v>
      </c>
      <c r="E76" s="93">
        <f t="shared" si="1"/>
        <v>10000</v>
      </c>
      <c r="F76" s="94">
        <f t="shared" ref="F76:F139" si="11">IF(C76&gt;$C$10,0,IF(AND($C$38&gt;0,A76&gt;=$C$38,EOMONTH(A76,0)&lt;=$C$39),E76*(1-$C$40),E76))</f>
        <v>10000</v>
      </c>
      <c r="G76" s="95">
        <f t="shared" ref="G76:G139" si="12">IF(C76&gt;$C$10,0,IF(AND($C$38&gt;0,A76&gt;=$C$38,EOMONTH(A76,0)&lt;=$C$39),-E76*$C$40,0))</f>
        <v>0</v>
      </c>
      <c r="H76" s="94">
        <f t="shared" si="2"/>
        <v>3750</v>
      </c>
      <c r="I76" s="94">
        <f t="shared" si="3"/>
        <v>1875</v>
      </c>
      <c r="J76" s="94">
        <f t="shared" si="4"/>
        <v>3125</v>
      </c>
      <c r="K76" s="94">
        <f t="shared" si="5"/>
        <v>625</v>
      </c>
      <c r="L76" s="94">
        <f t="shared" si="6"/>
        <v>312.5</v>
      </c>
      <c r="M76" s="94">
        <f t="shared" si="7"/>
        <v>9687.5</v>
      </c>
      <c r="N76" s="93">
        <f t="shared" si="8"/>
        <v>19687.5</v>
      </c>
      <c r="O76" s="96">
        <f t="shared" si="9"/>
        <v>1.3125</v>
      </c>
      <c r="P76" s="93">
        <f>MAX(SUM(N76:N198)+S76,0)</f>
        <v>2428929.3457094133</v>
      </c>
      <c r="Q76" s="93">
        <f>SUM(F76:F198)</f>
        <v>1341283.0811699284</v>
      </c>
      <c r="R76" s="93">
        <f>SUM(M76:M198)</f>
        <v>1330106.2645394844</v>
      </c>
      <c r="S76" s="97">
        <f>SUMPRODUCT(($C$55:$C$67)*($D$55:$D$67&gt;=$A76))</f>
        <v>-242460</v>
      </c>
      <c r="T76" s="150">
        <f>IF(C76&gt;$C$10,0,IF(AND($C$38&gt;0,A76&gt;=$C$38,EOMONTH(A76,0)&lt;=$C$39),E76*(1-$C$40)*(1-G$15),E76*(1-G$15)))+M76</f>
        <v>18687.5</v>
      </c>
      <c r="U76" s="150">
        <f>IF(C76&gt;$C$10,0,IF(AND($C$38&gt;0,A76&gt;=$C$38,EOMONTH(A76,0)&lt;=$C$39),E76*(1-$C$40)*(1-H$15),E76*(1-H$15)))+M76</f>
        <v>17687.5</v>
      </c>
      <c r="V76" s="150">
        <f>IF(C76&gt;$C$10,0,IF(AND($C$38&gt;0,A76&gt;=$C$38,EOMONTH(A76,0)&lt;=$C$39),E76*(1-$C$40)*(1-I$15),E76*(1-I$15)))+M76</f>
        <v>16687.5</v>
      </c>
      <c r="W76" s="181">
        <f>IF(C76&gt;$C$10,0,IF(AND($C$38&gt;0,A76&gt;=$C$38,EOMONTH(A76,0)&lt;=$C$39),E76*(1-$C$40)*(1-F$34),E76*(1-F$34)))+M76</f>
        <v>19687.5</v>
      </c>
      <c r="X76" s="179">
        <f>IF(C76&gt;$C$10,0,IF(AND($C$38&gt;0,A76&gt;=$C$38,EOMONTH(A76,0)&lt;=$C$39),E76*(1-$C$40)*(1-G$34),E76*(1-G$34)))+M76</f>
        <v>17687.5</v>
      </c>
      <c r="Y76" s="178">
        <f>IF(C76&gt;$C$10,0,IF(AND($C$38&gt;0,A76&gt;=$C$38,EOMONTH(A76,0)&lt;=$C$39),E76*(1-$C$40)*(1-H$34),E76*(1-H$34)))+M76</f>
        <v>16687.5</v>
      </c>
      <c r="Z76" s="179">
        <f>IF(C76&gt;$C$10,0,IF(AND($C$38&gt;0,A76&gt;=$C$38,EOMONTH(A76,0)&lt;=$C$39),E76*(1-$C$40)*(1-I$34),E76*(1-I$34)))+M76</f>
        <v>15687.5</v>
      </c>
      <c r="AA76" s="180">
        <f>IF(C76&gt;$C$10,0,IF(AND($C$38&gt;0,A76&gt;=$C$38,EOMONTH(A76,0)&lt;=$C$39),E76*(1-$C$40)*(1-J$34),E76*(1-J$34)))+M76</f>
        <v>14687.5</v>
      </c>
    </row>
    <row r="77" spans="1:27" x14ac:dyDescent="0.25">
      <c r="A77" s="90">
        <f>EDATE($C$8,2)</f>
        <v>43413</v>
      </c>
      <c r="B77" s="91">
        <f>EDATE($C$8,3)-1</f>
        <v>43442</v>
      </c>
      <c r="C77" s="92">
        <f t="shared" si="10"/>
        <v>3</v>
      </c>
      <c r="D77" s="92">
        <f t="shared" si="0"/>
        <v>1</v>
      </c>
      <c r="E77" s="93">
        <f t="shared" si="1"/>
        <v>10000</v>
      </c>
      <c r="F77" s="94">
        <f t="shared" si="11"/>
        <v>10000</v>
      </c>
      <c r="G77" s="95">
        <f t="shared" si="12"/>
        <v>0</v>
      </c>
      <c r="H77" s="94">
        <f t="shared" si="2"/>
        <v>3750</v>
      </c>
      <c r="I77" s="94">
        <f t="shared" si="3"/>
        <v>1875</v>
      </c>
      <c r="J77" s="94">
        <f t="shared" si="4"/>
        <v>3125</v>
      </c>
      <c r="K77" s="94">
        <f t="shared" si="5"/>
        <v>625</v>
      </c>
      <c r="L77" s="94">
        <f t="shared" si="6"/>
        <v>312.5</v>
      </c>
      <c r="M77" s="94">
        <f t="shared" si="7"/>
        <v>9687.5</v>
      </c>
      <c r="N77" s="93">
        <f t="shared" si="8"/>
        <v>19687.5</v>
      </c>
      <c r="O77" s="96">
        <f t="shared" si="9"/>
        <v>1.3125</v>
      </c>
      <c r="P77" s="93">
        <f>MAX(SUM(N77:N198)+S77,0)</f>
        <v>2427241.8457094133</v>
      </c>
      <c r="Q77" s="93">
        <f>SUM(F77:F198)</f>
        <v>1331283.0811699282</v>
      </c>
      <c r="R77" s="93">
        <f>SUM(M77:M198)</f>
        <v>1320418.7645394844</v>
      </c>
      <c r="S77" s="97">
        <f>SUMPRODUCT(($C$55:$C$67)*($D$55:$D$67&gt;=$A77))</f>
        <v>-224460</v>
      </c>
      <c r="T77" s="150">
        <f>IF(C77&gt;$C$10,0,IF(AND($C$38&gt;0,A77&gt;=$C$38,EOMONTH(A77,0)&lt;=$C$39),E77*(1-$C$40)*(1-G$15),E77*(1-G$15)))+M77</f>
        <v>18687.5</v>
      </c>
      <c r="U77" s="150">
        <f>IF(C77&gt;$C$10,0,IF(AND($C$38&gt;0,A77&gt;=$C$38,EOMONTH(A77,0)&lt;=$C$39),E77*(1-$C$40)*(1-H$15),E77*(1-H$15)))+M77</f>
        <v>17687.5</v>
      </c>
      <c r="V77" s="150">
        <f>IF(C77&gt;$C$10,0,IF(AND($C$38&gt;0,A77&gt;=$C$38,EOMONTH(A77,0)&lt;=$C$39),E77*(1-$C$40)*(1-I$15),E77*(1-I$15)))+M77</f>
        <v>16687.5</v>
      </c>
      <c r="W77" s="181">
        <f>IF(C77&gt;$C$10,0,IF(AND($C$38&gt;0,A77&gt;=$C$38,EOMONTH(A77,0)&lt;=$C$39),E77*(1-$C$40)*(1-F$34),E77*(1-F$34)))+M77</f>
        <v>19687.5</v>
      </c>
      <c r="X77" s="179">
        <f>IF(C77&gt;$C$10,0,IF(AND($C$38&gt;0,A77&gt;=$C$38,EOMONTH(A77,0)&lt;=$C$39),E77*(1-$C$40)*(1-G$34),E77*(1-G$34)))+M77</f>
        <v>17687.5</v>
      </c>
      <c r="Y77" s="178">
        <f>IF(C77&gt;$C$10,0,IF(AND($C$38&gt;0,A77&gt;=$C$38,EOMONTH(A77,0)&lt;=$C$39),E77*(1-$C$40)*(1-H$34),E77*(1-H$34)))+M77</f>
        <v>16687.5</v>
      </c>
      <c r="Z77" s="179">
        <f>IF(C77&gt;$C$10,0,IF(AND($C$38&gt;0,A77&gt;=$C$38,EOMONTH(A77,0)&lt;=$C$39),E77*(1-$C$40)*(1-I$34),E77*(1-I$34)))+M77</f>
        <v>15687.5</v>
      </c>
      <c r="AA77" s="180">
        <f>IF(C77&gt;$C$10,0,IF(AND($C$38&gt;0,A77&gt;=$C$38,EOMONTH(A77,0)&lt;=$C$39),E77*(1-$C$40)*(1-J$34),E77*(1-J$34)))+M77</f>
        <v>14687.5</v>
      </c>
    </row>
    <row r="78" spans="1:27" x14ac:dyDescent="0.25">
      <c r="A78" s="90">
        <f>EDATE($C$8,3)</f>
        <v>43443</v>
      </c>
      <c r="B78" s="91">
        <f>EDATE($C$8,4)-1</f>
        <v>43473</v>
      </c>
      <c r="C78" s="92">
        <f t="shared" si="10"/>
        <v>4</v>
      </c>
      <c r="D78" s="92">
        <f t="shared" si="0"/>
        <v>1</v>
      </c>
      <c r="E78" s="93">
        <f t="shared" si="1"/>
        <v>10000</v>
      </c>
      <c r="F78" s="94">
        <f t="shared" si="11"/>
        <v>10000</v>
      </c>
      <c r="G78" s="95">
        <f t="shared" si="12"/>
        <v>0</v>
      </c>
      <c r="H78" s="94">
        <f t="shared" si="2"/>
        <v>3750</v>
      </c>
      <c r="I78" s="94">
        <f t="shared" si="3"/>
        <v>1875</v>
      </c>
      <c r="J78" s="94">
        <f t="shared" si="4"/>
        <v>3125</v>
      </c>
      <c r="K78" s="94">
        <f t="shared" si="5"/>
        <v>625</v>
      </c>
      <c r="L78" s="94">
        <f t="shared" si="6"/>
        <v>312.5</v>
      </c>
      <c r="M78" s="94">
        <f t="shared" si="7"/>
        <v>9687.5</v>
      </c>
      <c r="N78" s="93">
        <f t="shared" si="8"/>
        <v>19687.5</v>
      </c>
      <c r="O78" s="96">
        <f t="shared" si="9"/>
        <v>1.3125</v>
      </c>
      <c r="P78" s="93">
        <f>MAX(SUM(N78:N198)+S78,0)</f>
        <v>2407554.3457094133</v>
      </c>
      <c r="Q78" s="93">
        <f>SUM(F78:F198)</f>
        <v>1321283.0811699282</v>
      </c>
      <c r="R78" s="93">
        <f>SUM(M78:M198)</f>
        <v>1310731.2645394844</v>
      </c>
      <c r="S78" s="97">
        <f>SUMPRODUCT(($C$55:$C$67)*($D$55:$D$67&gt;=$A78))</f>
        <v>-224460</v>
      </c>
      <c r="T78" s="150">
        <f>IF(C78&gt;$C$10,0,IF(AND($C$38&gt;0,A78&gt;=$C$38,EOMONTH(A78,0)&lt;=$C$39),E78*(1-$C$40)*(1-G$15),E78*(1-G$15)))+M78</f>
        <v>18687.5</v>
      </c>
      <c r="U78" s="150">
        <f>IF(C78&gt;$C$10,0,IF(AND($C$38&gt;0,A78&gt;=$C$38,EOMONTH(A78,0)&lt;=$C$39),E78*(1-$C$40)*(1-H$15),E78*(1-H$15)))+M78</f>
        <v>17687.5</v>
      </c>
      <c r="V78" s="150">
        <f>IF(C78&gt;$C$10,0,IF(AND($C$38&gt;0,A78&gt;=$C$38,EOMONTH(A78,0)&lt;=$C$39),E78*(1-$C$40)*(1-I$15),E78*(1-I$15)))+M78</f>
        <v>16687.5</v>
      </c>
      <c r="W78" s="181">
        <f>IF(C78&gt;$C$10,0,IF(AND($C$38&gt;0,A78&gt;=$C$38,EOMONTH(A78,0)&lt;=$C$39),E78*(1-$C$40)*(1-F$34),E78*(1-F$34)))+M78</f>
        <v>19687.5</v>
      </c>
      <c r="X78" s="179">
        <f>IF(C78&gt;$C$10,0,IF(AND($C$38&gt;0,A78&gt;=$C$38,EOMONTH(A78,0)&lt;=$C$39),E78*(1-$C$40)*(1-G$34),E78*(1-G$34)))+M78</f>
        <v>17687.5</v>
      </c>
      <c r="Y78" s="178">
        <f>IF(C78&gt;$C$10,0,IF(AND($C$38&gt;0,A78&gt;=$C$38,EOMONTH(A78,0)&lt;=$C$39),E78*(1-$C$40)*(1-H$34),E78*(1-H$34)))+M78</f>
        <v>16687.5</v>
      </c>
      <c r="Z78" s="179">
        <f>IF(C78&gt;$C$10,0,IF(AND($C$38&gt;0,A78&gt;=$C$38,EOMONTH(A78,0)&lt;=$C$39),E78*(1-$C$40)*(1-I$34),E78*(1-I$34)))+M78</f>
        <v>15687.5</v>
      </c>
      <c r="AA78" s="180">
        <f>IF(C78&gt;$C$10,0,IF(AND($C$38&gt;0,A78&gt;=$C$38,EOMONTH(A78,0)&lt;=$C$39),E78*(1-$C$40)*(1-J$34),E78*(1-J$34)))+M78</f>
        <v>14687.5</v>
      </c>
    </row>
    <row r="79" spans="1:27" x14ac:dyDescent="0.25">
      <c r="A79" s="98">
        <f>EDATE($C$8,4)</f>
        <v>43474</v>
      </c>
      <c r="B79" s="99">
        <f>EDATE($C$8,5)-1</f>
        <v>43504</v>
      </c>
      <c r="C79" s="92">
        <f t="shared" si="10"/>
        <v>5</v>
      </c>
      <c r="D79" s="100">
        <f t="shared" si="0"/>
        <v>1</v>
      </c>
      <c r="E79" s="101">
        <f t="shared" si="1"/>
        <v>10000</v>
      </c>
      <c r="F79" s="94">
        <f t="shared" si="11"/>
        <v>10000</v>
      </c>
      <c r="G79" s="95">
        <f t="shared" si="12"/>
        <v>0</v>
      </c>
      <c r="H79" s="94">
        <f t="shared" si="2"/>
        <v>3750</v>
      </c>
      <c r="I79" s="94">
        <f t="shared" si="3"/>
        <v>1875</v>
      </c>
      <c r="J79" s="94">
        <f t="shared" si="4"/>
        <v>3125</v>
      </c>
      <c r="K79" s="94">
        <f t="shared" si="5"/>
        <v>625</v>
      </c>
      <c r="L79" s="94">
        <f t="shared" si="6"/>
        <v>312.5</v>
      </c>
      <c r="M79" s="94">
        <f t="shared" si="7"/>
        <v>9687.5</v>
      </c>
      <c r="N79" s="101">
        <f t="shared" si="8"/>
        <v>19687.5</v>
      </c>
      <c r="O79" s="102">
        <f t="shared" si="9"/>
        <v>1.3125</v>
      </c>
      <c r="P79" s="101">
        <f>MAX(SUM(N79:N198)+S79,0)</f>
        <v>2387866.8457094133</v>
      </c>
      <c r="Q79" s="101">
        <f>SUM(F79:F198)</f>
        <v>1311283.0811699282</v>
      </c>
      <c r="R79" s="101">
        <f>SUM(M79:M198)</f>
        <v>1301043.7645394844</v>
      </c>
      <c r="S79" s="103">
        <f>SUMPRODUCT(($C$55:$C$67)*($D$55:$D$67&gt;=$A79))</f>
        <v>-224460</v>
      </c>
      <c r="T79" s="150">
        <f>IF(C79&gt;$C$10,0,IF(AND($C$38&gt;0,A79&gt;=$C$38,EOMONTH(A79,0)&lt;=$C$39),E79*(1-$C$40)*(1-G$15),E79*(1-G$15)))+M79</f>
        <v>18687.5</v>
      </c>
      <c r="U79" s="150">
        <f>IF(C79&gt;$C$10,0,IF(AND($C$38&gt;0,A79&gt;=$C$38,EOMONTH(A79,0)&lt;=$C$39),E79*(1-$C$40)*(1-H$15),E79*(1-H$15)))+M79</f>
        <v>17687.5</v>
      </c>
      <c r="V79" s="150">
        <f>IF(C79&gt;$C$10,0,IF(AND($C$38&gt;0,A79&gt;=$C$38,EOMONTH(A79,0)&lt;=$C$39),E79*(1-$C$40)*(1-I$15),E79*(1-I$15)))+M79</f>
        <v>16687.5</v>
      </c>
      <c r="W79" s="181">
        <f>IF(C79&gt;$C$10,0,IF(AND($C$38&gt;0,A79&gt;=$C$38,EOMONTH(A79,0)&lt;=$C$39),E79*(1-$C$40)*(1-F$34),E79*(1-F$34)))+M79</f>
        <v>19687.5</v>
      </c>
      <c r="X79" s="179">
        <f>IF(C79&gt;$C$10,0,IF(AND($C$38&gt;0,A79&gt;=$C$38,EOMONTH(A79,0)&lt;=$C$39),E79*(1-$C$40)*(1-G$34),E79*(1-G$34)))+M79</f>
        <v>17687.5</v>
      </c>
      <c r="Y79" s="178">
        <f>IF(C79&gt;$C$10,0,IF(AND($C$38&gt;0,A79&gt;=$C$38,EOMONTH(A79,0)&lt;=$C$39),E79*(1-$C$40)*(1-H$34),E79*(1-H$34)))+M79</f>
        <v>16687.5</v>
      </c>
      <c r="Z79" s="179">
        <f>IF(C79&gt;$C$10,0,IF(AND($C$38&gt;0,A79&gt;=$C$38,EOMONTH(A79,0)&lt;=$C$39),E79*(1-$C$40)*(1-I$34),E79*(1-I$34)))+M79</f>
        <v>15687.5</v>
      </c>
      <c r="AA79" s="180">
        <f>IF(C79&gt;$C$10,0,IF(AND($C$38&gt;0,A79&gt;=$C$38,EOMONTH(A79,0)&lt;=$C$39),E79*(1-$C$40)*(1-J$34),E79*(1-J$34)))+M79</f>
        <v>14687.5</v>
      </c>
    </row>
    <row r="80" spans="1:27" x14ac:dyDescent="0.25">
      <c r="A80" s="104">
        <f>EDATE($C$8,5)</f>
        <v>43505</v>
      </c>
      <c r="B80" s="105">
        <f>EDATE($C$8,6)-1</f>
        <v>43532</v>
      </c>
      <c r="C80" s="92">
        <f t="shared" si="10"/>
        <v>6</v>
      </c>
      <c r="D80" s="106">
        <f t="shared" si="0"/>
        <v>1</v>
      </c>
      <c r="E80" s="107">
        <f t="shared" si="1"/>
        <v>10000</v>
      </c>
      <c r="F80" s="94">
        <f t="shared" si="11"/>
        <v>10000</v>
      </c>
      <c r="G80" s="95">
        <f t="shared" si="12"/>
        <v>0</v>
      </c>
      <c r="H80" s="94">
        <f t="shared" si="2"/>
        <v>3750</v>
      </c>
      <c r="I80" s="94">
        <f t="shared" si="3"/>
        <v>1875</v>
      </c>
      <c r="J80" s="94">
        <f t="shared" si="4"/>
        <v>3125</v>
      </c>
      <c r="K80" s="94">
        <f t="shared" si="5"/>
        <v>625</v>
      </c>
      <c r="L80" s="94">
        <f t="shared" si="6"/>
        <v>312.5</v>
      </c>
      <c r="M80" s="94">
        <f t="shared" si="7"/>
        <v>9687.5</v>
      </c>
      <c r="N80" s="107">
        <f t="shared" si="8"/>
        <v>19687.5</v>
      </c>
      <c r="O80" s="108">
        <f t="shared" si="9"/>
        <v>1.3125</v>
      </c>
      <c r="P80" s="107">
        <f>MAX(SUM(N80:N198)+S80,0)</f>
        <v>2518179.3457094138</v>
      </c>
      <c r="Q80" s="107">
        <f>SUM(F80:F198)</f>
        <v>1301283.081169928</v>
      </c>
      <c r="R80" s="107">
        <f>SUM(M80:M198)</f>
        <v>1291356.2645394844</v>
      </c>
      <c r="S80" s="109">
        <f>SUMPRODUCT(($C$55:$C$67)*($D$55:$D$67&gt;=$A80))</f>
        <v>-74460</v>
      </c>
      <c r="T80" s="150">
        <f>IF(C80&gt;$C$10,0,IF(AND($C$38&gt;0,A80&gt;=$C$38,EOMONTH(A80,0)&lt;=$C$39),E80*(1-$C$40)*(1-G$15),E80*(1-G$15)))+M80</f>
        <v>18687.5</v>
      </c>
      <c r="U80" s="150">
        <f>IF(C80&gt;$C$10,0,IF(AND($C$38&gt;0,A80&gt;=$C$38,EOMONTH(A80,0)&lt;=$C$39),E80*(1-$C$40)*(1-H$15),E80*(1-H$15)))+M80</f>
        <v>17687.5</v>
      </c>
      <c r="V80" s="150">
        <f>IF(C80&gt;$C$10,0,IF(AND($C$38&gt;0,A80&gt;=$C$38,EOMONTH(A80,0)&lt;=$C$39),E80*(1-$C$40)*(1-I$15),E80*(1-I$15)))+M80</f>
        <v>16687.5</v>
      </c>
      <c r="W80" s="181">
        <f>IF(C80&gt;$C$10,0,IF(AND($C$38&gt;0,A80&gt;=$C$38,EOMONTH(A80,0)&lt;=$C$39),E80*(1-$C$40)*(1-F$34),E80*(1-F$34)))+M80</f>
        <v>19687.5</v>
      </c>
      <c r="X80" s="179">
        <f>IF(C80&gt;$C$10,0,IF(AND($C$38&gt;0,A80&gt;=$C$38,EOMONTH(A80,0)&lt;=$C$39),E80*(1-$C$40)*(1-G$34),E80*(1-G$34)))+M80</f>
        <v>17687.5</v>
      </c>
      <c r="Y80" s="178">
        <f>IF(C80&gt;$C$10,0,IF(AND($C$38&gt;0,A80&gt;=$C$38,EOMONTH(A80,0)&lt;=$C$39),E80*(1-$C$40)*(1-H$34),E80*(1-H$34)))+M80</f>
        <v>16687.5</v>
      </c>
      <c r="Z80" s="179">
        <f>IF(C80&gt;$C$10,0,IF(AND($C$38&gt;0,A80&gt;=$C$38,EOMONTH(A80,0)&lt;=$C$39),E80*(1-$C$40)*(1-I$34),E80*(1-I$34)))+M80</f>
        <v>15687.5</v>
      </c>
      <c r="AA80" s="180">
        <f>IF(C80&gt;$C$10,0,IF(AND($C$38&gt;0,A80&gt;=$C$38,EOMONTH(A80,0)&lt;=$C$39),E80*(1-$C$40)*(1-J$34),E80*(1-J$34)))+M80</f>
        <v>14687.5</v>
      </c>
    </row>
    <row r="81" spans="1:27" x14ac:dyDescent="0.25">
      <c r="A81" s="98">
        <f>EDATE($C$8,6)</f>
        <v>43533</v>
      </c>
      <c r="B81" s="99">
        <f>EDATE($C$8,7)-1</f>
        <v>43563</v>
      </c>
      <c r="C81" s="92">
        <f t="shared" si="10"/>
        <v>7</v>
      </c>
      <c r="D81" s="100">
        <f t="shared" si="0"/>
        <v>1</v>
      </c>
      <c r="E81" s="101">
        <f t="shared" si="1"/>
        <v>10000</v>
      </c>
      <c r="F81" s="94">
        <f t="shared" si="11"/>
        <v>10000</v>
      </c>
      <c r="G81" s="95">
        <f t="shared" si="12"/>
        <v>0</v>
      </c>
      <c r="H81" s="94">
        <f t="shared" si="2"/>
        <v>3750</v>
      </c>
      <c r="I81" s="94">
        <f t="shared" si="3"/>
        <v>1875</v>
      </c>
      <c r="J81" s="94">
        <f t="shared" si="4"/>
        <v>3125</v>
      </c>
      <c r="K81" s="94">
        <f t="shared" si="5"/>
        <v>625</v>
      </c>
      <c r="L81" s="94">
        <f t="shared" si="6"/>
        <v>312.5</v>
      </c>
      <c r="M81" s="94">
        <f t="shared" si="7"/>
        <v>9687.5</v>
      </c>
      <c r="N81" s="101">
        <f t="shared" si="8"/>
        <v>19687.5</v>
      </c>
      <c r="O81" s="102">
        <f t="shared" si="9"/>
        <v>1.3125</v>
      </c>
      <c r="P81" s="101">
        <f>MAX(SUM(N81:N198)+S81,0)</f>
        <v>2498491.8457094138</v>
      </c>
      <c r="Q81" s="101">
        <f>SUM(F81:F198)</f>
        <v>1291283.0811699277</v>
      </c>
      <c r="R81" s="101">
        <f>SUM(M81:M198)</f>
        <v>1281668.7645394844</v>
      </c>
      <c r="S81" s="103">
        <f>SUMPRODUCT(($C$55:$C$67)*($D$55:$D$67&gt;=$A81))</f>
        <v>-74460</v>
      </c>
      <c r="T81" s="150">
        <f>IF(C81&gt;$C$10,0,IF(AND($C$38&gt;0,A81&gt;=$C$38,EOMONTH(A81,0)&lt;=$C$39),E81*(1-$C$40)*(1-G$15),E81*(1-G$15)))+M81</f>
        <v>18687.5</v>
      </c>
      <c r="U81" s="150">
        <f>IF(C81&gt;$C$10,0,IF(AND($C$38&gt;0,A81&gt;=$C$38,EOMONTH(A81,0)&lt;=$C$39),E81*(1-$C$40)*(1-H$15),E81*(1-H$15)))+M81</f>
        <v>17687.5</v>
      </c>
      <c r="V81" s="150">
        <f>IF(C81&gt;$C$10,0,IF(AND($C$38&gt;0,A81&gt;=$C$38,EOMONTH(A81,0)&lt;=$C$39),E81*(1-$C$40)*(1-I$15),E81*(1-I$15)))+M81</f>
        <v>16687.5</v>
      </c>
      <c r="W81" s="181">
        <f>IF(C81&gt;$C$10,0,IF(AND($C$38&gt;0,A81&gt;=$C$38,EOMONTH(A81,0)&lt;=$C$39),E81*(1-$C$40)*(1-F$34),E81*(1-F$34)))+M81</f>
        <v>19687.5</v>
      </c>
      <c r="X81" s="179">
        <f>IF(C81&gt;$C$10,0,IF(AND($C$38&gt;0,A81&gt;=$C$38,EOMONTH(A81,0)&lt;=$C$39),E81*(1-$C$40)*(1-G$34),E81*(1-G$34)))+M81</f>
        <v>17687.5</v>
      </c>
      <c r="Y81" s="178">
        <f>IF(C81&gt;$C$10,0,IF(AND($C$38&gt;0,A81&gt;=$C$38,EOMONTH(A81,0)&lt;=$C$39),E81*(1-$C$40)*(1-H$34),E81*(1-H$34)))+M81</f>
        <v>16687.5</v>
      </c>
      <c r="Z81" s="179">
        <f>IF(C81&gt;$C$10,0,IF(AND($C$38&gt;0,A81&gt;=$C$38,EOMONTH(A81,0)&lt;=$C$39),E81*(1-$C$40)*(1-I$34),E81*(1-I$34)))+M81</f>
        <v>15687.5</v>
      </c>
      <c r="AA81" s="180">
        <f>IF(C81&gt;$C$10,0,IF(AND($C$38&gt;0,A81&gt;=$C$38,EOMONTH(A81,0)&lt;=$C$39),E81*(1-$C$40)*(1-J$34),E81*(1-J$34)))+M81</f>
        <v>14687.5</v>
      </c>
    </row>
    <row r="82" spans="1:27" x14ac:dyDescent="0.25">
      <c r="A82" s="104">
        <f>EDATE($C$8,7)</f>
        <v>43564</v>
      </c>
      <c r="B82" s="105">
        <f>EDATE($C$8,8)-1</f>
        <v>43593</v>
      </c>
      <c r="C82" s="92">
        <f t="shared" si="10"/>
        <v>8</v>
      </c>
      <c r="D82" s="106">
        <f t="shared" si="0"/>
        <v>1</v>
      </c>
      <c r="E82" s="107">
        <f t="shared" si="1"/>
        <v>10000</v>
      </c>
      <c r="F82" s="94">
        <f t="shared" si="11"/>
        <v>10000</v>
      </c>
      <c r="G82" s="95">
        <f t="shared" si="12"/>
        <v>0</v>
      </c>
      <c r="H82" s="94">
        <f t="shared" si="2"/>
        <v>3750</v>
      </c>
      <c r="I82" s="94">
        <f t="shared" si="3"/>
        <v>1875</v>
      </c>
      <c r="J82" s="94">
        <f t="shared" si="4"/>
        <v>3125</v>
      </c>
      <c r="K82" s="94">
        <f t="shared" si="5"/>
        <v>625</v>
      </c>
      <c r="L82" s="94">
        <f t="shared" si="6"/>
        <v>312.5</v>
      </c>
      <c r="M82" s="94">
        <f t="shared" si="7"/>
        <v>9687.5</v>
      </c>
      <c r="N82" s="107">
        <f t="shared" si="8"/>
        <v>19687.5</v>
      </c>
      <c r="O82" s="108">
        <f t="shared" si="9"/>
        <v>1.3125</v>
      </c>
      <c r="P82" s="107">
        <f>MAX(SUM(N82:N198)+S82,0)</f>
        <v>2468604.3457094142</v>
      </c>
      <c r="Q82" s="107">
        <f>SUM(F82:F198)</f>
        <v>1281283.0811699275</v>
      </c>
      <c r="R82" s="107">
        <f>SUM(M82:M198)</f>
        <v>1271981.2645394844</v>
      </c>
      <c r="S82" s="109">
        <f>SUMPRODUCT(($C$55:$C$67)*($D$55:$D$67&gt;=$A82))</f>
        <v>-84660</v>
      </c>
      <c r="T82" s="150">
        <f>IF(C82&gt;$C$10,0,IF(AND($C$38&gt;0,A82&gt;=$C$38,EOMONTH(A82,0)&lt;=$C$39),E82*(1-$C$40)*(1-G$15),E82*(1-G$15)))+M82</f>
        <v>18687.5</v>
      </c>
      <c r="U82" s="150">
        <f>IF(C82&gt;$C$10,0,IF(AND($C$38&gt;0,A82&gt;=$C$38,EOMONTH(A82,0)&lt;=$C$39),E82*(1-$C$40)*(1-H$15),E82*(1-H$15)))+M82</f>
        <v>17687.5</v>
      </c>
      <c r="V82" s="150">
        <f>IF(C82&gt;$C$10,0,IF(AND($C$38&gt;0,A82&gt;=$C$38,EOMONTH(A82,0)&lt;=$C$39),E82*(1-$C$40)*(1-I$15),E82*(1-I$15)))+M82</f>
        <v>16687.5</v>
      </c>
      <c r="W82" s="181">
        <f>IF(C82&gt;$C$10,0,IF(AND($C$38&gt;0,A82&gt;=$C$38,EOMONTH(A82,0)&lt;=$C$39),E82*(1-$C$40)*(1-F$34),E82*(1-F$34)))+M82</f>
        <v>19687.5</v>
      </c>
      <c r="X82" s="179">
        <f>IF(C82&gt;$C$10,0,IF(AND($C$38&gt;0,A82&gt;=$C$38,EOMONTH(A82,0)&lt;=$C$39),E82*(1-$C$40)*(1-G$34),E82*(1-G$34)))+M82</f>
        <v>17687.5</v>
      </c>
      <c r="Y82" s="178">
        <f>IF(C82&gt;$C$10,0,IF(AND($C$38&gt;0,A82&gt;=$C$38,EOMONTH(A82,0)&lt;=$C$39),E82*(1-$C$40)*(1-H$34),E82*(1-H$34)))+M82</f>
        <v>16687.5</v>
      </c>
      <c r="Z82" s="179">
        <f>IF(C82&gt;$C$10,0,IF(AND($C$38&gt;0,A82&gt;=$C$38,EOMONTH(A82,0)&lt;=$C$39),E82*(1-$C$40)*(1-I$34),E82*(1-I$34)))+M82</f>
        <v>15687.5</v>
      </c>
      <c r="AA82" s="180">
        <f>IF(C82&gt;$C$10,0,IF(AND($C$38&gt;0,A82&gt;=$C$38,EOMONTH(A82,0)&lt;=$C$39),E82*(1-$C$40)*(1-J$34),E82*(1-J$34)))+M82</f>
        <v>14687.5</v>
      </c>
    </row>
    <row r="83" spans="1:27" x14ac:dyDescent="0.25">
      <c r="A83" s="98">
        <f>EDATE($C$8,8)</f>
        <v>43594</v>
      </c>
      <c r="B83" s="99">
        <f>EDATE($C$8,9)-1</f>
        <v>43624</v>
      </c>
      <c r="C83" s="92">
        <f t="shared" si="10"/>
        <v>9</v>
      </c>
      <c r="D83" s="100">
        <f t="shared" si="0"/>
        <v>1</v>
      </c>
      <c r="E83" s="101">
        <f t="shared" si="1"/>
        <v>10000</v>
      </c>
      <c r="F83" s="94">
        <f t="shared" si="11"/>
        <v>10000</v>
      </c>
      <c r="G83" s="95">
        <f t="shared" si="12"/>
        <v>0</v>
      </c>
      <c r="H83" s="94">
        <f t="shared" si="2"/>
        <v>3750</v>
      </c>
      <c r="I83" s="94">
        <f t="shared" si="3"/>
        <v>1875</v>
      </c>
      <c r="J83" s="94">
        <f t="shared" si="4"/>
        <v>3125</v>
      </c>
      <c r="K83" s="94">
        <f t="shared" si="5"/>
        <v>625</v>
      </c>
      <c r="L83" s="94">
        <f t="shared" si="6"/>
        <v>312.5</v>
      </c>
      <c r="M83" s="94">
        <f t="shared" si="7"/>
        <v>9687.5</v>
      </c>
      <c r="N83" s="101">
        <f t="shared" si="8"/>
        <v>19687.5</v>
      </c>
      <c r="O83" s="102">
        <f t="shared" si="9"/>
        <v>1.3125</v>
      </c>
      <c r="P83" s="101">
        <f>MAX(SUM(N83:N198)+S83,0)</f>
        <v>2523916.8457094142</v>
      </c>
      <c r="Q83" s="101">
        <f>SUM(F83:F198)</f>
        <v>1271283.0811699275</v>
      </c>
      <c r="R83" s="101">
        <f>SUM(M83:M198)</f>
        <v>1262293.7645394844</v>
      </c>
      <c r="S83" s="103">
        <f>SUMPRODUCT(($C$55:$C$67)*($D$55:$D$67&gt;=$A83))</f>
        <v>-9660</v>
      </c>
      <c r="T83" s="150">
        <f>IF(C83&gt;$C$10,0,IF(AND($C$38&gt;0,A83&gt;=$C$38,EOMONTH(A83,0)&lt;=$C$39),E83*(1-$C$40)*(1-G$15),E83*(1-G$15)))+M83</f>
        <v>18687.5</v>
      </c>
      <c r="U83" s="150">
        <f>IF(C83&gt;$C$10,0,IF(AND($C$38&gt;0,A83&gt;=$C$38,EOMONTH(A83,0)&lt;=$C$39),E83*(1-$C$40)*(1-H$15),E83*(1-H$15)))+M83</f>
        <v>17687.5</v>
      </c>
      <c r="V83" s="150">
        <f>IF(C83&gt;$C$10,0,IF(AND($C$38&gt;0,A83&gt;=$C$38,EOMONTH(A83,0)&lt;=$C$39),E83*(1-$C$40)*(1-I$15),E83*(1-I$15)))+M83</f>
        <v>16687.5</v>
      </c>
      <c r="W83" s="181">
        <f>IF(C83&gt;$C$10,0,IF(AND($C$38&gt;0,A83&gt;=$C$38,EOMONTH(A83,0)&lt;=$C$39),E83*(1-$C$40)*(1-F$34),E83*(1-F$34)))+M83</f>
        <v>19687.5</v>
      </c>
      <c r="X83" s="179">
        <f>IF(C83&gt;$C$10,0,IF(AND($C$38&gt;0,A83&gt;=$C$38,EOMONTH(A83,0)&lt;=$C$39),E83*(1-$C$40)*(1-G$34),E83*(1-G$34)))+M83</f>
        <v>17687.5</v>
      </c>
      <c r="Y83" s="178">
        <f>IF(C83&gt;$C$10,0,IF(AND($C$38&gt;0,A83&gt;=$C$38,EOMONTH(A83,0)&lt;=$C$39),E83*(1-$C$40)*(1-H$34),E83*(1-H$34)))+M83</f>
        <v>16687.5</v>
      </c>
      <c r="Z83" s="179">
        <f>IF(C83&gt;$C$10,0,IF(AND($C$38&gt;0,A83&gt;=$C$38,EOMONTH(A83,0)&lt;=$C$39),E83*(1-$C$40)*(1-I$34),E83*(1-I$34)))+M83</f>
        <v>15687.5</v>
      </c>
      <c r="AA83" s="180">
        <f>IF(C83&gt;$C$10,0,IF(AND($C$38&gt;0,A83&gt;=$C$38,EOMONTH(A83,0)&lt;=$C$39),E83*(1-$C$40)*(1-J$34),E83*(1-J$34)))+M83</f>
        <v>14687.5</v>
      </c>
    </row>
    <row r="84" spans="1:27" x14ac:dyDescent="0.25">
      <c r="A84" s="104">
        <f>EDATE($C$8,9)</f>
        <v>43625</v>
      </c>
      <c r="B84" s="105">
        <f>EDATE($C$8,10)-1</f>
        <v>43654</v>
      </c>
      <c r="C84" s="92">
        <f t="shared" si="10"/>
        <v>10</v>
      </c>
      <c r="D84" s="106">
        <f t="shared" si="0"/>
        <v>1</v>
      </c>
      <c r="E84" s="107">
        <f t="shared" si="1"/>
        <v>10000</v>
      </c>
      <c r="F84" s="94">
        <f t="shared" si="11"/>
        <v>10000</v>
      </c>
      <c r="G84" s="95">
        <f t="shared" si="12"/>
        <v>0</v>
      </c>
      <c r="H84" s="94">
        <f t="shared" si="2"/>
        <v>3750</v>
      </c>
      <c r="I84" s="94">
        <f t="shared" si="3"/>
        <v>1875</v>
      </c>
      <c r="J84" s="94">
        <f t="shared" si="4"/>
        <v>3125</v>
      </c>
      <c r="K84" s="94">
        <f t="shared" si="5"/>
        <v>625</v>
      </c>
      <c r="L84" s="94">
        <f t="shared" si="6"/>
        <v>312.5</v>
      </c>
      <c r="M84" s="94">
        <f t="shared" si="7"/>
        <v>9687.5</v>
      </c>
      <c r="N84" s="107">
        <f t="shared" si="8"/>
        <v>19687.5</v>
      </c>
      <c r="O84" s="108">
        <f t="shared" si="9"/>
        <v>1.3125</v>
      </c>
      <c r="P84" s="107">
        <f>MAX(SUM(N84:N198)+S84,0)</f>
        <v>2504229.3457094142</v>
      </c>
      <c r="Q84" s="107">
        <f>SUM(F84:F198)</f>
        <v>1261283.0811699275</v>
      </c>
      <c r="R84" s="107">
        <f>SUM(M84:M198)</f>
        <v>1252606.2645394844</v>
      </c>
      <c r="S84" s="109">
        <f>SUMPRODUCT(($C$55:$C$67)*($D$55:$D$67&gt;=$A84))</f>
        <v>-9660</v>
      </c>
      <c r="T84" s="150">
        <f>IF(C84&gt;$C$10,0,IF(AND($C$38&gt;0,A84&gt;=$C$38,EOMONTH(A84,0)&lt;=$C$39),E84*(1-$C$40)*(1-G$15),E84*(1-G$15)))+M84</f>
        <v>18687.5</v>
      </c>
      <c r="U84" s="150">
        <f>IF(C84&gt;$C$10,0,IF(AND($C$38&gt;0,A84&gt;=$C$38,EOMONTH(A84,0)&lt;=$C$39),E84*(1-$C$40)*(1-H$15),E84*(1-H$15)))+M84</f>
        <v>17687.5</v>
      </c>
      <c r="V84" s="150">
        <f>IF(C84&gt;$C$10,0,IF(AND($C$38&gt;0,A84&gt;=$C$38,EOMONTH(A84,0)&lt;=$C$39),E84*(1-$C$40)*(1-I$15),E84*(1-I$15)))+M84</f>
        <v>16687.5</v>
      </c>
      <c r="W84" s="181">
        <f>IF(C84&gt;$C$10,0,IF(AND($C$38&gt;0,A84&gt;=$C$38,EOMONTH(A84,0)&lt;=$C$39),E84*(1-$C$40)*(1-F$34),E84*(1-F$34)))+M84</f>
        <v>19687.5</v>
      </c>
      <c r="X84" s="179">
        <f>IF(C84&gt;$C$10,0,IF(AND($C$38&gt;0,A84&gt;=$C$38,EOMONTH(A84,0)&lt;=$C$39),E84*(1-$C$40)*(1-G$34),E84*(1-G$34)))+M84</f>
        <v>17687.5</v>
      </c>
      <c r="Y84" s="178">
        <f>IF(C84&gt;$C$10,0,IF(AND($C$38&gt;0,A84&gt;=$C$38,EOMONTH(A84,0)&lt;=$C$39),E84*(1-$C$40)*(1-H$34),E84*(1-H$34)))+M84</f>
        <v>16687.5</v>
      </c>
      <c r="Z84" s="179">
        <f>IF(C84&gt;$C$10,0,IF(AND($C$38&gt;0,A84&gt;=$C$38,EOMONTH(A84,0)&lt;=$C$39),E84*(1-$C$40)*(1-I$34),E84*(1-I$34)))+M84</f>
        <v>15687.5</v>
      </c>
      <c r="AA84" s="180">
        <f>IF(C84&gt;$C$10,0,IF(AND($C$38&gt;0,A84&gt;=$C$38,EOMONTH(A84,0)&lt;=$C$39),E84*(1-$C$40)*(1-J$34),E84*(1-J$34)))+M84</f>
        <v>14687.5</v>
      </c>
    </row>
    <row r="85" spans="1:27" x14ac:dyDescent="0.25">
      <c r="A85" s="98">
        <f>EDATE($C$8,10)</f>
        <v>43655</v>
      </c>
      <c r="B85" s="99">
        <f>EDATE($C$8,11)-1</f>
        <v>43685</v>
      </c>
      <c r="C85" s="92">
        <f t="shared" si="10"/>
        <v>11</v>
      </c>
      <c r="D85" s="100">
        <f t="shared" si="0"/>
        <v>1</v>
      </c>
      <c r="E85" s="101">
        <f t="shared" si="1"/>
        <v>10000</v>
      </c>
      <c r="F85" s="94">
        <f t="shared" si="11"/>
        <v>10000</v>
      </c>
      <c r="G85" s="95">
        <f t="shared" si="12"/>
        <v>0</v>
      </c>
      <c r="H85" s="94">
        <f t="shared" si="2"/>
        <v>3750</v>
      </c>
      <c r="I85" s="94">
        <f t="shared" si="3"/>
        <v>1875</v>
      </c>
      <c r="J85" s="94">
        <f t="shared" si="4"/>
        <v>3125</v>
      </c>
      <c r="K85" s="94">
        <f t="shared" si="5"/>
        <v>625</v>
      </c>
      <c r="L85" s="94">
        <f t="shared" si="6"/>
        <v>312.5</v>
      </c>
      <c r="M85" s="94">
        <f t="shared" si="7"/>
        <v>9687.5</v>
      </c>
      <c r="N85" s="101">
        <f t="shared" si="8"/>
        <v>19687.5</v>
      </c>
      <c r="O85" s="102">
        <f t="shared" si="9"/>
        <v>1.3125</v>
      </c>
      <c r="P85" s="101">
        <f>MAX(SUM(N85:N198)+S85,0)</f>
        <v>2479501.8457094147</v>
      </c>
      <c r="Q85" s="101">
        <f>SUM(F85:F198)</f>
        <v>1251283.0811699275</v>
      </c>
      <c r="R85" s="101">
        <f>SUM(M85:M198)</f>
        <v>1242918.7645394844</v>
      </c>
      <c r="S85" s="103">
        <f>SUMPRODUCT(($C$55:$C$67)*($D$55:$D$67&gt;=$A85))</f>
        <v>-14700</v>
      </c>
      <c r="T85" s="150">
        <f>IF(C85&gt;$C$10,0,IF(AND($C$38&gt;0,A85&gt;=$C$38,EOMONTH(A85,0)&lt;=$C$39),E85*(1-$C$40)*(1-G$15),E85*(1-G$15)))+M85</f>
        <v>18687.5</v>
      </c>
      <c r="U85" s="150">
        <f>IF(C85&gt;$C$10,0,IF(AND($C$38&gt;0,A85&gt;=$C$38,EOMONTH(A85,0)&lt;=$C$39),E85*(1-$C$40)*(1-H$15),E85*(1-H$15)))+M85</f>
        <v>17687.5</v>
      </c>
      <c r="V85" s="150">
        <f>IF(C85&gt;$C$10,0,IF(AND($C$38&gt;0,A85&gt;=$C$38,EOMONTH(A85,0)&lt;=$C$39),E85*(1-$C$40)*(1-I$15),E85*(1-I$15)))+M85</f>
        <v>16687.5</v>
      </c>
      <c r="W85" s="181">
        <f>IF(C85&gt;$C$10,0,IF(AND($C$38&gt;0,A85&gt;=$C$38,EOMONTH(A85,0)&lt;=$C$39),E85*(1-$C$40)*(1-F$34),E85*(1-F$34)))+M85</f>
        <v>19687.5</v>
      </c>
      <c r="X85" s="179">
        <f>IF(C85&gt;$C$10,0,IF(AND($C$38&gt;0,A85&gt;=$C$38,EOMONTH(A85,0)&lt;=$C$39),E85*(1-$C$40)*(1-G$34),E85*(1-G$34)))+M85</f>
        <v>17687.5</v>
      </c>
      <c r="Y85" s="178">
        <f>IF(C85&gt;$C$10,0,IF(AND($C$38&gt;0,A85&gt;=$C$38,EOMONTH(A85,0)&lt;=$C$39),E85*(1-$C$40)*(1-H$34),E85*(1-H$34)))+M85</f>
        <v>16687.5</v>
      </c>
      <c r="Z85" s="179">
        <f>IF(C85&gt;$C$10,0,IF(AND($C$38&gt;0,A85&gt;=$C$38,EOMONTH(A85,0)&lt;=$C$39),E85*(1-$C$40)*(1-I$34),E85*(1-I$34)))+M85</f>
        <v>15687.5</v>
      </c>
      <c r="AA85" s="180">
        <f>IF(C85&gt;$C$10,0,IF(AND($C$38&gt;0,A85&gt;=$C$38,EOMONTH(A85,0)&lt;=$C$39),E85*(1-$C$40)*(1-J$34),E85*(1-J$34)))+M85</f>
        <v>14687.5</v>
      </c>
    </row>
    <row r="86" spans="1:27" x14ac:dyDescent="0.25">
      <c r="A86" s="104">
        <f>EDATE($C$8,11)</f>
        <v>43686</v>
      </c>
      <c r="B86" s="105">
        <f>EDATE($C$8,12)-1</f>
        <v>43716</v>
      </c>
      <c r="C86" s="92">
        <f t="shared" si="10"/>
        <v>12</v>
      </c>
      <c r="D86" s="106">
        <f t="shared" si="0"/>
        <v>1</v>
      </c>
      <c r="E86" s="107">
        <f t="shared" si="1"/>
        <v>10000</v>
      </c>
      <c r="F86" s="94">
        <f t="shared" si="11"/>
        <v>10000</v>
      </c>
      <c r="G86" s="95">
        <f t="shared" si="12"/>
        <v>0</v>
      </c>
      <c r="H86" s="94">
        <f t="shared" si="2"/>
        <v>3750</v>
      </c>
      <c r="I86" s="94">
        <f t="shared" si="3"/>
        <v>1875</v>
      </c>
      <c r="J86" s="94">
        <f t="shared" si="4"/>
        <v>3125</v>
      </c>
      <c r="K86" s="94">
        <f t="shared" si="5"/>
        <v>625</v>
      </c>
      <c r="L86" s="94">
        <f t="shared" si="6"/>
        <v>312.5</v>
      </c>
      <c r="M86" s="94">
        <f t="shared" si="7"/>
        <v>9687.5</v>
      </c>
      <c r="N86" s="107">
        <f t="shared" si="8"/>
        <v>19687.5</v>
      </c>
      <c r="O86" s="108">
        <f t="shared" si="9"/>
        <v>1.3125</v>
      </c>
      <c r="P86" s="107">
        <f>MAX(SUM(N86:N198)+S86,0)</f>
        <v>2459814.3457094147</v>
      </c>
      <c r="Q86" s="107">
        <f>SUM(F86:F198)</f>
        <v>1241283.0811699273</v>
      </c>
      <c r="R86" s="107">
        <f>SUM(M86:M198)</f>
        <v>1233231.2645394844</v>
      </c>
      <c r="S86" s="109">
        <f>SUMPRODUCT(($C$55:$C$67)*($D$55:$D$67&gt;=$A86))</f>
        <v>-14700</v>
      </c>
      <c r="T86" s="150">
        <f>IF(C86&gt;$C$10,0,IF(AND($C$38&gt;0,A86&gt;=$C$38,EOMONTH(A86,0)&lt;=$C$39),E86*(1-$C$40)*(1-G$15),E86*(1-G$15)))+M86</f>
        <v>18687.5</v>
      </c>
      <c r="U86" s="150">
        <f>IF(C86&gt;$C$10,0,IF(AND($C$38&gt;0,A86&gt;=$C$38,EOMONTH(A86,0)&lt;=$C$39),E86*(1-$C$40)*(1-H$15),E86*(1-H$15)))+M86</f>
        <v>17687.5</v>
      </c>
      <c r="V86" s="150">
        <f>IF(C86&gt;$C$10,0,IF(AND($C$38&gt;0,A86&gt;=$C$38,EOMONTH(A86,0)&lt;=$C$39),E86*(1-$C$40)*(1-I$15),E86*(1-I$15)))+M86</f>
        <v>16687.5</v>
      </c>
      <c r="W86" s="181">
        <f>IF(C86&gt;$C$10,0,IF(AND($C$38&gt;0,A86&gt;=$C$38,EOMONTH(A86,0)&lt;=$C$39),E86*(1-$C$40)*(1-F$34),E86*(1-F$34)))+M86</f>
        <v>19687.5</v>
      </c>
      <c r="X86" s="179">
        <f>IF(C86&gt;$C$10,0,IF(AND($C$38&gt;0,A86&gt;=$C$38,EOMONTH(A86,0)&lt;=$C$39),E86*(1-$C$40)*(1-G$34),E86*(1-G$34)))+M86</f>
        <v>17687.5</v>
      </c>
      <c r="Y86" s="178">
        <f>IF(C86&gt;$C$10,0,IF(AND($C$38&gt;0,A86&gt;=$C$38,EOMONTH(A86,0)&lt;=$C$39),E86*(1-$C$40)*(1-H$34),E86*(1-H$34)))+M86</f>
        <v>16687.5</v>
      </c>
      <c r="Z86" s="179">
        <f>IF(C86&gt;$C$10,0,IF(AND($C$38&gt;0,A86&gt;=$C$38,EOMONTH(A86,0)&lt;=$C$39),E86*(1-$C$40)*(1-I$34),E86*(1-I$34)))+M86</f>
        <v>15687.5</v>
      </c>
      <c r="AA86" s="180">
        <f>IF(C86&gt;$C$10,0,IF(AND($C$38&gt;0,A86&gt;=$C$38,EOMONTH(A86,0)&lt;=$C$39),E86*(1-$C$40)*(1-J$34),E86*(1-J$34)))+M86</f>
        <v>14687.5</v>
      </c>
    </row>
    <row r="87" spans="1:27" x14ac:dyDescent="0.25">
      <c r="A87" s="98">
        <f>EDATE($C$8,12)</f>
        <v>43717</v>
      </c>
      <c r="B87" s="99">
        <f>EDATE($C$8,13)-1</f>
        <v>43746</v>
      </c>
      <c r="C87" s="92">
        <f t="shared" si="10"/>
        <v>13</v>
      </c>
      <c r="D87" s="100">
        <f t="shared" si="0"/>
        <v>2</v>
      </c>
      <c r="E87" s="101">
        <f t="shared" si="1"/>
        <v>10300</v>
      </c>
      <c r="F87" s="94">
        <f t="shared" si="11"/>
        <v>10300</v>
      </c>
      <c r="G87" s="95">
        <f t="shared" si="12"/>
        <v>0</v>
      </c>
      <c r="H87" s="94">
        <f t="shared" si="2"/>
        <v>3862.5</v>
      </c>
      <c r="I87" s="94">
        <f t="shared" si="3"/>
        <v>1931.25</v>
      </c>
      <c r="J87" s="94">
        <f t="shared" si="4"/>
        <v>3218.75</v>
      </c>
      <c r="K87" s="94">
        <f t="shared" si="5"/>
        <v>637.5</v>
      </c>
      <c r="L87" s="94">
        <f t="shared" si="6"/>
        <v>318.75</v>
      </c>
      <c r="M87" s="94">
        <f t="shared" si="7"/>
        <v>9968.75</v>
      </c>
      <c r="N87" s="101">
        <f t="shared" si="8"/>
        <v>20268.75</v>
      </c>
      <c r="O87" s="102">
        <f t="shared" si="9"/>
        <v>1.3512500000000001</v>
      </c>
      <c r="P87" s="101">
        <f>MAX(SUM(N87:N198)+S87,0)</f>
        <v>2440126.8457094147</v>
      </c>
      <c r="Q87" s="101">
        <f>SUM(F87:F198)</f>
        <v>1231283.0811699273</v>
      </c>
      <c r="R87" s="101">
        <f>SUM(M87:M198)</f>
        <v>1223543.7645394842</v>
      </c>
      <c r="S87" s="103">
        <f>SUMPRODUCT(($C$55:$C$67)*($D$55:$D$67&gt;=$A87))</f>
        <v>-14700</v>
      </c>
      <c r="T87" s="150">
        <f>IF(C87&gt;$C$10,0,IF(AND($C$38&gt;0,A87&gt;=$C$38,EOMONTH(A87,0)&lt;=$C$39),E87*(1-$C$40)*(1-G$15),E87*(1-G$15)))+M87</f>
        <v>19238.75</v>
      </c>
      <c r="U87" s="150">
        <f>IF(C87&gt;$C$10,0,IF(AND($C$38&gt;0,A87&gt;=$C$38,EOMONTH(A87,0)&lt;=$C$39),E87*(1-$C$40)*(1-H$15),E87*(1-H$15)))+M87</f>
        <v>18208.75</v>
      </c>
      <c r="V87" s="150">
        <f>IF(C87&gt;$C$10,0,IF(AND($C$38&gt;0,A87&gt;=$C$38,EOMONTH(A87,0)&lt;=$C$39),E87*(1-$C$40)*(1-I$15),E87*(1-I$15)))+M87</f>
        <v>17178.75</v>
      </c>
      <c r="W87" s="181">
        <f>IF(C87&gt;$C$10,0,IF(AND($C$38&gt;0,A87&gt;=$C$38,EOMONTH(A87,0)&lt;=$C$39),E87*(1-$C$40)*(1-F$34),E87*(1-F$34)))+M87</f>
        <v>20268.75</v>
      </c>
      <c r="X87" s="179">
        <f>IF(C87&gt;$C$10,0,IF(AND($C$38&gt;0,A87&gt;=$C$38,EOMONTH(A87,0)&lt;=$C$39),E87*(1-$C$40)*(1-G$34),E87*(1-G$34)))+M87</f>
        <v>18208.75</v>
      </c>
      <c r="Y87" s="178">
        <f>IF(C87&gt;$C$10,0,IF(AND($C$38&gt;0,A87&gt;=$C$38,EOMONTH(A87,0)&lt;=$C$39),E87*(1-$C$40)*(1-H$34),E87*(1-H$34)))+M87</f>
        <v>17178.75</v>
      </c>
      <c r="Z87" s="179">
        <f>IF(C87&gt;$C$10,0,IF(AND($C$38&gt;0,A87&gt;=$C$38,EOMONTH(A87,0)&lt;=$C$39),E87*(1-$C$40)*(1-I$34),E87*(1-I$34)))+M87</f>
        <v>16148.75</v>
      </c>
      <c r="AA87" s="180">
        <f>IF(C87&gt;$C$10,0,IF(AND($C$38&gt;0,A87&gt;=$C$38,EOMONTH(A87,0)&lt;=$C$39),E87*(1-$C$40)*(1-J$34),E87*(1-J$34)))+M87</f>
        <v>15118.75</v>
      </c>
    </row>
    <row r="88" spans="1:27" x14ac:dyDescent="0.25">
      <c r="A88" s="104">
        <f>EDATE($C$8,13)</f>
        <v>43747</v>
      </c>
      <c r="B88" s="105">
        <f>EDATE($C$8,14)-1</f>
        <v>43777</v>
      </c>
      <c r="C88" s="92">
        <f t="shared" si="10"/>
        <v>14</v>
      </c>
      <c r="D88" s="106">
        <f t="shared" si="0"/>
        <v>2</v>
      </c>
      <c r="E88" s="107">
        <f t="shared" si="1"/>
        <v>10300</v>
      </c>
      <c r="F88" s="94">
        <f t="shared" si="11"/>
        <v>10300</v>
      </c>
      <c r="G88" s="95">
        <f t="shared" si="12"/>
        <v>0</v>
      </c>
      <c r="H88" s="94">
        <f t="shared" si="2"/>
        <v>3862.5</v>
      </c>
      <c r="I88" s="94">
        <f t="shared" si="3"/>
        <v>1931.25</v>
      </c>
      <c r="J88" s="94">
        <f t="shared" si="4"/>
        <v>3218.75</v>
      </c>
      <c r="K88" s="94">
        <f t="shared" si="5"/>
        <v>637.5</v>
      </c>
      <c r="L88" s="94">
        <f t="shared" si="6"/>
        <v>318.75</v>
      </c>
      <c r="M88" s="94">
        <f t="shared" si="7"/>
        <v>9968.75</v>
      </c>
      <c r="N88" s="107">
        <f t="shared" si="8"/>
        <v>20268.75</v>
      </c>
      <c r="O88" s="108">
        <f t="shared" si="9"/>
        <v>1.3512500000000001</v>
      </c>
      <c r="P88" s="107">
        <f>MAX(SUM(N88:N198)+S88,0)</f>
        <v>2479858.0957094147</v>
      </c>
      <c r="Q88" s="107">
        <f>SUM(F88:F198)</f>
        <v>1220983.0811699273</v>
      </c>
      <c r="R88" s="107">
        <f>SUM(M88:M198)</f>
        <v>1213575.0145394842</v>
      </c>
      <c r="S88" s="109">
        <f>SUMPRODUCT(($C$55:$C$67)*($D$55:$D$67&gt;=$A88))</f>
        <v>45300</v>
      </c>
      <c r="T88" s="150">
        <f>IF(C88&gt;$C$10,0,IF(AND($C$38&gt;0,A88&gt;=$C$38,EOMONTH(A88,0)&lt;=$C$39),E88*(1-$C$40)*(1-G$15),E88*(1-G$15)))+M88</f>
        <v>19238.75</v>
      </c>
      <c r="U88" s="150">
        <f>IF(C88&gt;$C$10,0,IF(AND($C$38&gt;0,A88&gt;=$C$38,EOMONTH(A88,0)&lt;=$C$39),E88*(1-$C$40)*(1-H$15),E88*(1-H$15)))+M88</f>
        <v>18208.75</v>
      </c>
      <c r="V88" s="150">
        <f>IF(C88&gt;$C$10,0,IF(AND($C$38&gt;0,A88&gt;=$C$38,EOMONTH(A88,0)&lt;=$C$39),E88*(1-$C$40)*(1-I$15),E88*(1-I$15)))+M88</f>
        <v>17178.75</v>
      </c>
      <c r="W88" s="181">
        <f>IF(C88&gt;$C$10,0,IF(AND($C$38&gt;0,A88&gt;=$C$38,EOMONTH(A88,0)&lt;=$C$39),E88*(1-$C$40)*(1-F$34),E88*(1-F$34)))+M88</f>
        <v>20268.75</v>
      </c>
      <c r="X88" s="179">
        <f>IF(C88&gt;$C$10,0,IF(AND($C$38&gt;0,A88&gt;=$C$38,EOMONTH(A88,0)&lt;=$C$39),E88*(1-$C$40)*(1-G$34),E88*(1-G$34)))+M88</f>
        <v>18208.75</v>
      </c>
      <c r="Y88" s="178">
        <f>IF(C88&gt;$C$10,0,IF(AND($C$38&gt;0,A88&gt;=$C$38,EOMONTH(A88,0)&lt;=$C$39),E88*(1-$C$40)*(1-H$34),E88*(1-H$34)))+M88</f>
        <v>17178.75</v>
      </c>
      <c r="Z88" s="179">
        <f>IF(C88&gt;$C$10,0,IF(AND($C$38&gt;0,A88&gt;=$C$38,EOMONTH(A88,0)&lt;=$C$39),E88*(1-$C$40)*(1-I$34),E88*(1-I$34)))+M88</f>
        <v>16148.75</v>
      </c>
      <c r="AA88" s="180">
        <f>IF(C88&gt;$C$10,0,IF(AND($C$38&gt;0,A88&gt;=$C$38,EOMONTH(A88,0)&lt;=$C$39),E88*(1-$C$40)*(1-J$34),E88*(1-J$34)))+M88</f>
        <v>15118.75</v>
      </c>
    </row>
    <row r="89" spans="1:27" x14ac:dyDescent="0.25">
      <c r="A89" s="98">
        <f>EDATE($C$8,14)</f>
        <v>43778</v>
      </c>
      <c r="B89" s="99">
        <f>EDATE($C$8,15)-1</f>
        <v>43807</v>
      </c>
      <c r="C89" s="92">
        <f t="shared" si="10"/>
        <v>15</v>
      </c>
      <c r="D89" s="100">
        <f t="shared" si="0"/>
        <v>2</v>
      </c>
      <c r="E89" s="101">
        <f t="shared" si="1"/>
        <v>10300</v>
      </c>
      <c r="F89" s="94">
        <f t="shared" si="11"/>
        <v>10300</v>
      </c>
      <c r="G89" s="95">
        <f t="shared" si="12"/>
        <v>0</v>
      </c>
      <c r="H89" s="94">
        <f t="shared" si="2"/>
        <v>3862.5</v>
      </c>
      <c r="I89" s="94">
        <f t="shared" si="3"/>
        <v>1931.25</v>
      </c>
      <c r="J89" s="94">
        <f t="shared" si="4"/>
        <v>3218.75</v>
      </c>
      <c r="K89" s="94">
        <f t="shared" si="5"/>
        <v>637.5</v>
      </c>
      <c r="L89" s="94">
        <f t="shared" si="6"/>
        <v>318.75</v>
      </c>
      <c r="M89" s="94">
        <f t="shared" si="7"/>
        <v>9968.75</v>
      </c>
      <c r="N89" s="101">
        <f t="shared" si="8"/>
        <v>20268.75</v>
      </c>
      <c r="O89" s="102">
        <f t="shared" si="9"/>
        <v>1.3512500000000001</v>
      </c>
      <c r="P89" s="101">
        <f>MAX(SUM(N89:N198)+S89,0)</f>
        <v>2444289.3457094147</v>
      </c>
      <c r="Q89" s="101">
        <f>SUM(F89:F198)</f>
        <v>1210683.0811699273</v>
      </c>
      <c r="R89" s="101">
        <f>SUM(M89:M198)</f>
        <v>1203606.2645394839</v>
      </c>
      <c r="S89" s="103">
        <f>SUMPRODUCT(($C$55:$C$67)*($D$55:$D$67&gt;=$A89))</f>
        <v>30000</v>
      </c>
      <c r="T89" s="150">
        <f>IF(C89&gt;$C$10,0,IF(AND($C$38&gt;0,A89&gt;=$C$38,EOMONTH(A89,0)&lt;=$C$39),E89*(1-$C$40)*(1-G$15),E89*(1-G$15)))+M89</f>
        <v>19238.75</v>
      </c>
      <c r="U89" s="150">
        <f>IF(C89&gt;$C$10,0,IF(AND($C$38&gt;0,A89&gt;=$C$38,EOMONTH(A89,0)&lt;=$C$39),E89*(1-$C$40)*(1-H$15),E89*(1-H$15)))+M89</f>
        <v>18208.75</v>
      </c>
      <c r="V89" s="150">
        <f>IF(C89&gt;$C$10,0,IF(AND($C$38&gt;0,A89&gt;=$C$38,EOMONTH(A89,0)&lt;=$C$39),E89*(1-$C$40)*(1-I$15),E89*(1-I$15)))+M89</f>
        <v>17178.75</v>
      </c>
      <c r="W89" s="181">
        <f>IF(C89&gt;$C$10,0,IF(AND($C$38&gt;0,A89&gt;=$C$38,EOMONTH(A89,0)&lt;=$C$39),E89*(1-$C$40)*(1-F$34),E89*(1-F$34)))+M89</f>
        <v>20268.75</v>
      </c>
      <c r="X89" s="179">
        <f>IF(C89&gt;$C$10,0,IF(AND($C$38&gt;0,A89&gt;=$C$38,EOMONTH(A89,0)&lt;=$C$39),E89*(1-$C$40)*(1-G$34),E89*(1-G$34)))+M89</f>
        <v>18208.75</v>
      </c>
      <c r="Y89" s="178">
        <f>IF(C89&gt;$C$10,0,IF(AND($C$38&gt;0,A89&gt;=$C$38,EOMONTH(A89,0)&lt;=$C$39),E89*(1-$C$40)*(1-H$34),E89*(1-H$34)))+M89</f>
        <v>17178.75</v>
      </c>
      <c r="Z89" s="179">
        <f>IF(C89&gt;$C$10,0,IF(AND($C$38&gt;0,A89&gt;=$C$38,EOMONTH(A89,0)&lt;=$C$39),E89*(1-$C$40)*(1-I$34),E89*(1-I$34)))+M89</f>
        <v>16148.75</v>
      </c>
      <c r="AA89" s="180">
        <f>IF(C89&gt;$C$10,0,IF(AND($C$38&gt;0,A89&gt;=$C$38,EOMONTH(A89,0)&lt;=$C$39),E89*(1-$C$40)*(1-J$34),E89*(1-J$34)))+M89</f>
        <v>15118.75</v>
      </c>
    </row>
    <row r="90" spans="1:27" x14ac:dyDescent="0.25">
      <c r="A90" s="104">
        <f>EDATE($C$8,15)</f>
        <v>43808</v>
      </c>
      <c r="B90" s="105">
        <f>EDATE($C$8,16)-1</f>
        <v>43838</v>
      </c>
      <c r="C90" s="92">
        <f t="shared" si="10"/>
        <v>16</v>
      </c>
      <c r="D90" s="106">
        <f t="shared" si="0"/>
        <v>2</v>
      </c>
      <c r="E90" s="107">
        <f t="shared" si="1"/>
        <v>10300</v>
      </c>
      <c r="F90" s="94">
        <f t="shared" si="11"/>
        <v>10300</v>
      </c>
      <c r="G90" s="95">
        <f t="shared" si="12"/>
        <v>0</v>
      </c>
      <c r="H90" s="94">
        <f t="shared" si="2"/>
        <v>3862.5</v>
      </c>
      <c r="I90" s="94">
        <f t="shared" si="3"/>
        <v>1931.25</v>
      </c>
      <c r="J90" s="94">
        <f t="shared" si="4"/>
        <v>3218.75</v>
      </c>
      <c r="K90" s="94">
        <f t="shared" si="5"/>
        <v>637.5</v>
      </c>
      <c r="L90" s="94">
        <f t="shared" si="6"/>
        <v>318.75</v>
      </c>
      <c r="M90" s="94">
        <f t="shared" si="7"/>
        <v>9968.75</v>
      </c>
      <c r="N90" s="107">
        <f t="shared" si="8"/>
        <v>20268.75</v>
      </c>
      <c r="O90" s="108">
        <f t="shared" si="9"/>
        <v>1.3512500000000001</v>
      </c>
      <c r="P90" s="107">
        <f>MAX(SUM(N90:N198)+S90,0)</f>
        <v>2424020.5957094147</v>
      </c>
      <c r="Q90" s="107">
        <f>SUM(F90:F198)</f>
        <v>1200383.0811699273</v>
      </c>
      <c r="R90" s="107">
        <f>SUM(M90:M198)</f>
        <v>1193637.5145394839</v>
      </c>
      <c r="S90" s="109">
        <f>SUMPRODUCT(($C$55:$C$67)*($D$55:$D$67&gt;=$A90))</f>
        <v>30000</v>
      </c>
      <c r="T90" s="150">
        <f>IF(C90&gt;$C$10,0,IF(AND($C$38&gt;0,A90&gt;=$C$38,EOMONTH(A90,0)&lt;=$C$39),E90*(1-$C$40)*(1-G$15),E90*(1-G$15)))+M90</f>
        <v>19238.75</v>
      </c>
      <c r="U90" s="150">
        <f>IF(C90&gt;$C$10,0,IF(AND($C$38&gt;0,A90&gt;=$C$38,EOMONTH(A90,0)&lt;=$C$39),E90*(1-$C$40)*(1-H$15),E90*(1-H$15)))+M90</f>
        <v>18208.75</v>
      </c>
      <c r="V90" s="150">
        <f>IF(C90&gt;$C$10,0,IF(AND($C$38&gt;0,A90&gt;=$C$38,EOMONTH(A90,0)&lt;=$C$39),E90*(1-$C$40)*(1-I$15),E90*(1-I$15)))+M90</f>
        <v>17178.75</v>
      </c>
      <c r="W90" s="181">
        <f>IF(C90&gt;$C$10,0,IF(AND($C$38&gt;0,A90&gt;=$C$38,EOMONTH(A90,0)&lt;=$C$39),E90*(1-$C$40)*(1-F$34),E90*(1-F$34)))+M90</f>
        <v>20268.75</v>
      </c>
      <c r="X90" s="179">
        <f>IF(C90&gt;$C$10,0,IF(AND($C$38&gt;0,A90&gt;=$C$38,EOMONTH(A90,0)&lt;=$C$39),E90*(1-$C$40)*(1-G$34),E90*(1-G$34)))+M90</f>
        <v>18208.75</v>
      </c>
      <c r="Y90" s="178">
        <f>IF(C90&gt;$C$10,0,IF(AND($C$38&gt;0,A90&gt;=$C$38,EOMONTH(A90,0)&lt;=$C$39),E90*(1-$C$40)*(1-H$34),E90*(1-H$34)))+M90</f>
        <v>17178.75</v>
      </c>
      <c r="Z90" s="179">
        <f>IF(C90&gt;$C$10,0,IF(AND($C$38&gt;0,A90&gt;=$C$38,EOMONTH(A90,0)&lt;=$C$39),E90*(1-$C$40)*(1-I$34),E90*(1-I$34)))+M90</f>
        <v>16148.75</v>
      </c>
      <c r="AA90" s="180">
        <f>IF(C90&gt;$C$10,0,IF(AND($C$38&gt;0,A90&gt;=$C$38,EOMONTH(A90,0)&lt;=$C$39),E90*(1-$C$40)*(1-J$34),E90*(1-J$34)))+M90</f>
        <v>15118.75</v>
      </c>
    </row>
    <row r="91" spans="1:27" x14ac:dyDescent="0.25">
      <c r="A91" s="98">
        <f>EDATE($C$8,16)</f>
        <v>43839</v>
      </c>
      <c r="B91" s="99">
        <f>EDATE($C$8,17)-1</f>
        <v>43869</v>
      </c>
      <c r="C91" s="92">
        <f t="shared" si="10"/>
        <v>17</v>
      </c>
      <c r="D91" s="100">
        <f t="shared" si="0"/>
        <v>2</v>
      </c>
      <c r="E91" s="101">
        <f t="shared" si="1"/>
        <v>10300</v>
      </c>
      <c r="F91" s="94">
        <f t="shared" si="11"/>
        <v>10300</v>
      </c>
      <c r="G91" s="95">
        <f t="shared" si="12"/>
        <v>0</v>
      </c>
      <c r="H91" s="94">
        <f t="shared" si="2"/>
        <v>3862.5</v>
      </c>
      <c r="I91" s="94">
        <f t="shared" si="3"/>
        <v>1931.25</v>
      </c>
      <c r="J91" s="94">
        <f t="shared" si="4"/>
        <v>3218.75</v>
      </c>
      <c r="K91" s="94">
        <f t="shared" si="5"/>
        <v>637.5</v>
      </c>
      <c r="L91" s="94">
        <f t="shared" si="6"/>
        <v>318.75</v>
      </c>
      <c r="M91" s="94">
        <f t="shared" si="7"/>
        <v>9968.75</v>
      </c>
      <c r="N91" s="101">
        <f t="shared" si="8"/>
        <v>20268.75</v>
      </c>
      <c r="O91" s="102">
        <f t="shared" si="9"/>
        <v>1.3512500000000001</v>
      </c>
      <c r="P91" s="101">
        <f>MAX(SUM(N91:N198)+S91,0)</f>
        <v>2403751.8457094147</v>
      </c>
      <c r="Q91" s="101">
        <f>SUM(F91:F198)</f>
        <v>1190083.0811699275</v>
      </c>
      <c r="R91" s="101">
        <f>SUM(M91:M198)</f>
        <v>1183668.7645394837</v>
      </c>
      <c r="S91" s="103">
        <f>SUMPRODUCT(($C$55:$C$67)*($D$55:$D$67&gt;=$A91))</f>
        <v>30000</v>
      </c>
      <c r="T91" s="150">
        <f>IF(C91&gt;$C$10,0,IF(AND($C$38&gt;0,A91&gt;=$C$38,EOMONTH(A91,0)&lt;=$C$39),E91*(1-$C$40)*(1-G$15),E91*(1-G$15)))+M91</f>
        <v>19238.75</v>
      </c>
      <c r="U91" s="150">
        <f>IF(C91&gt;$C$10,0,IF(AND($C$38&gt;0,A91&gt;=$C$38,EOMONTH(A91,0)&lt;=$C$39),E91*(1-$C$40)*(1-H$15),E91*(1-H$15)))+M91</f>
        <v>18208.75</v>
      </c>
      <c r="V91" s="150">
        <f>IF(C91&gt;$C$10,0,IF(AND($C$38&gt;0,A91&gt;=$C$38,EOMONTH(A91,0)&lt;=$C$39),E91*(1-$C$40)*(1-I$15),E91*(1-I$15)))+M91</f>
        <v>17178.75</v>
      </c>
      <c r="W91" s="181">
        <f>IF(C91&gt;$C$10,0,IF(AND($C$38&gt;0,A91&gt;=$C$38,EOMONTH(A91,0)&lt;=$C$39),E91*(1-$C$40)*(1-F$34),E91*(1-F$34)))+M91</f>
        <v>20268.75</v>
      </c>
      <c r="X91" s="179">
        <f>IF(C91&gt;$C$10,0,IF(AND($C$38&gt;0,A91&gt;=$C$38,EOMONTH(A91,0)&lt;=$C$39),E91*(1-$C$40)*(1-G$34),E91*(1-G$34)))+M91</f>
        <v>18208.75</v>
      </c>
      <c r="Y91" s="178">
        <f>IF(C91&gt;$C$10,0,IF(AND($C$38&gt;0,A91&gt;=$C$38,EOMONTH(A91,0)&lt;=$C$39),E91*(1-$C$40)*(1-H$34),E91*(1-H$34)))+M91</f>
        <v>17178.75</v>
      </c>
      <c r="Z91" s="179">
        <f>IF(C91&gt;$C$10,0,IF(AND($C$38&gt;0,A91&gt;=$C$38,EOMONTH(A91,0)&lt;=$C$39),E91*(1-$C$40)*(1-I$34),E91*(1-I$34)))+M91</f>
        <v>16148.75</v>
      </c>
      <c r="AA91" s="180">
        <f>IF(C91&gt;$C$10,0,IF(AND($C$38&gt;0,A91&gt;=$C$38,EOMONTH(A91,0)&lt;=$C$39),E91*(1-$C$40)*(1-J$34),E91*(1-J$34)))+M91</f>
        <v>15118.75</v>
      </c>
    </row>
    <row r="92" spans="1:27" x14ac:dyDescent="0.25">
      <c r="A92" s="104">
        <f>EDATE($C$8,17)</f>
        <v>43870</v>
      </c>
      <c r="B92" s="105">
        <f>EDATE($C$8,18)-1</f>
        <v>43898</v>
      </c>
      <c r="C92" s="92">
        <f t="shared" si="10"/>
        <v>18</v>
      </c>
      <c r="D92" s="106">
        <f t="shared" si="0"/>
        <v>2</v>
      </c>
      <c r="E92" s="107">
        <f t="shared" si="1"/>
        <v>10300</v>
      </c>
      <c r="F92" s="94">
        <f t="shared" si="11"/>
        <v>10300</v>
      </c>
      <c r="G92" s="95">
        <f t="shared" si="12"/>
        <v>0</v>
      </c>
      <c r="H92" s="94">
        <f t="shared" si="2"/>
        <v>3862.5</v>
      </c>
      <c r="I92" s="94">
        <f t="shared" si="3"/>
        <v>1931.25</v>
      </c>
      <c r="J92" s="94">
        <f t="shared" si="4"/>
        <v>3218.75</v>
      </c>
      <c r="K92" s="94">
        <f t="shared" si="5"/>
        <v>637.5</v>
      </c>
      <c r="L92" s="94">
        <f t="shared" si="6"/>
        <v>318.75</v>
      </c>
      <c r="M92" s="94">
        <f t="shared" si="7"/>
        <v>9968.75</v>
      </c>
      <c r="N92" s="107">
        <f t="shared" si="8"/>
        <v>20268.75</v>
      </c>
      <c r="O92" s="108">
        <f t="shared" si="9"/>
        <v>1.3512500000000001</v>
      </c>
      <c r="P92" s="107">
        <f>MAX(SUM(N92:N198)+S92,0)</f>
        <v>2383483.0957094147</v>
      </c>
      <c r="Q92" s="107">
        <f>SUM(F92:F198)</f>
        <v>1179783.0811699275</v>
      </c>
      <c r="R92" s="107">
        <f>SUM(M92:M198)</f>
        <v>1173700.0145394835</v>
      </c>
      <c r="S92" s="109">
        <f>SUMPRODUCT(($C$55:$C$67)*($D$55:$D$67&gt;=$A92))</f>
        <v>30000</v>
      </c>
      <c r="T92" s="150">
        <f>IF(C92&gt;$C$10,0,IF(AND($C$38&gt;0,A92&gt;=$C$38,EOMONTH(A92,0)&lt;=$C$39),E92*(1-$C$40)*(1-G$15),E92*(1-G$15)))+M92</f>
        <v>19238.75</v>
      </c>
      <c r="U92" s="150">
        <f>IF(C92&gt;$C$10,0,IF(AND($C$38&gt;0,A92&gt;=$C$38,EOMONTH(A92,0)&lt;=$C$39),E92*(1-$C$40)*(1-H$15),E92*(1-H$15)))+M92</f>
        <v>18208.75</v>
      </c>
      <c r="V92" s="150">
        <f>IF(C92&gt;$C$10,0,IF(AND($C$38&gt;0,A92&gt;=$C$38,EOMONTH(A92,0)&lt;=$C$39),E92*(1-$C$40)*(1-I$15),E92*(1-I$15)))+M92</f>
        <v>17178.75</v>
      </c>
      <c r="W92" s="181">
        <f>IF(C92&gt;$C$10,0,IF(AND($C$38&gt;0,A92&gt;=$C$38,EOMONTH(A92,0)&lt;=$C$39),E92*(1-$C$40)*(1-F$34),E92*(1-F$34)))+M92</f>
        <v>20268.75</v>
      </c>
      <c r="X92" s="179">
        <f>IF(C92&gt;$C$10,0,IF(AND($C$38&gt;0,A92&gt;=$C$38,EOMONTH(A92,0)&lt;=$C$39),E92*(1-$C$40)*(1-G$34),E92*(1-G$34)))+M92</f>
        <v>18208.75</v>
      </c>
      <c r="Y92" s="178">
        <f>IF(C92&gt;$C$10,0,IF(AND($C$38&gt;0,A92&gt;=$C$38,EOMONTH(A92,0)&lt;=$C$39),E92*(1-$C$40)*(1-H$34),E92*(1-H$34)))+M92</f>
        <v>17178.75</v>
      </c>
      <c r="Z92" s="179">
        <f>IF(C92&gt;$C$10,0,IF(AND($C$38&gt;0,A92&gt;=$C$38,EOMONTH(A92,0)&lt;=$C$39),E92*(1-$C$40)*(1-I$34),E92*(1-I$34)))+M92</f>
        <v>16148.75</v>
      </c>
      <c r="AA92" s="180">
        <f>IF(C92&gt;$C$10,0,IF(AND($C$38&gt;0,A92&gt;=$C$38,EOMONTH(A92,0)&lt;=$C$39),E92*(1-$C$40)*(1-J$34),E92*(1-J$34)))+M92</f>
        <v>15118.75</v>
      </c>
    </row>
    <row r="93" spans="1:27" x14ac:dyDescent="0.25">
      <c r="A93" s="98">
        <f>EDATE($C$8,18)</f>
        <v>43899</v>
      </c>
      <c r="B93" s="99">
        <f>EDATE($C$8,19)-1</f>
        <v>43929</v>
      </c>
      <c r="C93" s="92">
        <f t="shared" si="10"/>
        <v>19</v>
      </c>
      <c r="D93" s="100">
        <f t="shared" si="0"/>
        <v>2</v>
      </c>
      <c r="E93" s="101">
        <f t="shared" si="1"/>
        <v>10300</v>
      </c>
      <c r="F93" s="94">
        <f t="shared" si="11"/>
        <v>10300</v>
      </c>
      <c r="G93" s="95">
        <f t="shared" si="12"/>
        <v>0</v>
      </c>
      <c r="H93" s="94">
        <f t="shared" si="2"/>
        <v>3862.5</v>
      </c>
      <c r="I93" s="94">
        <f t="shared" si="3"/>
        <v>1931.25</v>
      </c>
      <c r="J93" s="94">
        <f t="shared" si="4"/>
        <v>3218.75</v>
      </c>
      <c r="K93" s="94">
        <f t="shared" si="5"/>
        <v>637.5</v>
      </c>
      <c r="L93" s="94">
        <f t="shared" si="6"/>
        <v>318.75</v>
      </c>
      <c r="M93" s="94">
        <f t="shared" si="7"/>
        <v>9968.75</v>
      </c>
      <c r="N93" s="101">
        <f t="shared" si="8"/>
        <v>20268.75</v>
      </c>
      <c r="O93" s="102">
        <f t="shared" si="9"/>
        <v>1.3512500000000001</v>
      </c>
      <c r="P93" s="101">
        <f>MAX(SUM(N93:N198)+S93,0)</f>
        <v>2333214.3457094147</v>
      </c>
      <c r="Q93" s="101">
        <f>SUM(F93:F198)</f>
        <v>1169483.0811699275</v>
      </c>
      <c r="R93" s="101">
        <f>SUM(M93:M198)</f>
        <v>1163731.2645394832</v>
      </c>
      <c r="S93" s="103">
        <f>SUMPRODUCT(($C$55:$C$67)*($D$55:$D$67&gt;=$A93))</f>
        <v>0</v>
      </c>
      <c r="T93" s="150">
        <f>IF(C93&gt;$C$10,0,IF(AND($C$38&gt;0,A93&gt;=$C$38,EOMONTH(A93,0)&lt;=$C$39),E93*(1-$C$40)*(1-G$15),E93*(1-G$15)))+M93</f>
        <v>19238.75</v>
      </c>
      <c r="U93" s="150">
        <f>IF(C93&gt;$C$10,0,IF(AND($C$38&gt;0,A93&gt;=$C$38,EOMONTH(A93,0)&lt;=$C$39),E93*(1-$C$40)*(1-H$15),E93*(1-H$15)))+M93</f>
        <v>18208.75</v>
      </c>
      <c r="V93" s="150">
        <f>IF(C93&gt;$C$10,0,IF(AND($C$38&gt;0,A93&gt;=$C$38,EOMONTH(A93,0)&lt;=$C$39),E93*(1-$C$40)*(1-I$15),E93*(1-I$15)))+M93</f>
        <v>17178.75</v>
      </c>
      <c r="W93" s="181">
        <f>IF(C93&gt;$C$10,0,IF(AND($C$38&gt;0,A93&gt;=$C$38,EOMONTH(A93,0)&lt;=$C$39),E93*(1-$C$40)*(1-F$34),E93*(1-F$34)))+M93</f>
        <v>20268.75</v>
      </c>
      <c r="X93" s="179">
        <f>IF(C93&gt;$C$10,0,IF(AND($C$38&gt;0,A93&gt;=$C$38,EOMONTH(A93,0)&lt;=$C$39),E93*(1-$C$40)*(1-G$34),E93*(1-G$34)))+M93</f>
        <v>18208.75</v>
      </c>
      <c r="Y93" s="178">
        <f>IF(C93&gt;$C$10,0,IF(AND($C$38&gt;0,A93&gt;=$C$38,EOMONTH(A93,0)&lt;=$C$39),E93*(1-$C$40)*(1-H$34),E93*(1-H$34)))+M93</f>
        <v>17178.75</v>
      </c>
      <c r="Z93" s="179">
        <f>IF(C93&gt;$C$10,0,IF(AND($C$38&gt;0,A93&gt;=$C$38,EOMONTH(A93,0)&lt;=$C$39),E93*(1-$C$40)*(1-I$34),E93*(1-I$34)))+M93</f>
        <v>16148.75</v>
      </c>
      <c r="AA93" s="180">
        <f>IF(C93&gt;$C$10,0,IF(AND($C$38&gt;0,A93&gt;=$C$38,EOMONTH(A93,0)&lt;=$C$39),E93*(1-$C$40)*(1-J$34),E93*(1-J$34)))+M93</f>
        <v>15118.75</v>
      </c>
    </row>
    <row r="94" spans="1:27" x14ac:dyDescent="0.25">
      <c r="A94" s="104">
        <f>EDATE($C$8,19)</f>
        <v>43930</v>
      </c>
      <c r="B94" s="105">
        <f>EDATE($C$8,20)-1</f>
        <v>43959</v>
      </c>
      <c r="C94" s="92">
        <f t="shared" si="10"/>
        <v>20</v>
      </c>
      <c r="D94" s="106">
        <f t="shared" si="0"/>
        <v>2</v>
      </c>
      <c r="E94" s="107">
        <f t="shared" si="1"/>
        <v>10300</v>
      </c>
      <c r="F94" s="94">
        <f t="shared" si="11"/>
        <v>10300</v>
      </c>
      <c r="G94" s="95">
        <f t="shared" si="12"/>
        <v>0</v>
      </c>
      <c r="H94" s="94">
        <f t="shared" si="2"/>
        <v>3862.5</v>
      </c>
      <c r="I94" s="94">
        <f t="shared" si="3"/>
        <v>1931.25</v>
      </c>
      <c r="J94" s="94">
        <f t="shared" si="4"/>
        <v>3218.75</v>
      </c>
      <c r="K94" s="94">
        <f t="shared" si="5"/>
        <v>637.5</v>
      </c>
      <c r="L94" s="94">
        <f t="shared" si="6"/>
        <v>318.75</v>
      </c>
      <c r="M94" s="94">
        <f t="shared" si="7"/>
        <v>9968.75</v>
      </c>
      <c r="N94" s="107">
        <f t="shared" si="8"/>
        <v>20268.75</v>
      </c>
      <c r="O94" s="108">
        <f t="shared" si="9"/>
        <v>1.3512500000000001</v>
      </c>
      <c r="P94" s="107">
        <f>MAX(SUM(N94:N198)+S94,0)</f>
        <v>2312945.5957094147</v>
      </c>
      <c r="Q94" s="107">
        <f>SUM(F94:F198)</f>
        <v>1159183.0811699275</v>
      </c>
      <c r="R94" s="107">
        <f>SUM(M94:M198)</f>
        <v>1153762.5145394832</v>
      </c>
      <c r="S94" s="109">
        <f>SUMPRODUCT(($C$55:$C$67)*($D$55:$D$67&gt;=$A94))</f>
        <v>0</v>
      </c>
      <c r="T94" s="150">
        <f>IF(C94&gt;$C$10,0,IF(AND($C$38&gt;0,A94&gt;=$C$38,EOMONTH(A94,0)&lt;=$C$39),E94*(1-$C$40)*(1-G$15),E94*(1-G$15)))+M94</f>
        <v>19238.75</v>
      </c>
      <c r="U94" s="150">
        <f>IF(C94&gt;$C$10,0,IF(AND($C$38&gt;0,A94&gt;=$C$38,EOMONTH(A94,0)&lt;=$C$39),E94*(1-$C$40)*(1-H$15),E94*(1-H$15)))+M94</f>
        <v>18208.75</v>
      </c>
      <c r="V94" s="150">
        <f>IF(C94&gt;$C$10,0,IF(AND($C$38&gt;0,A94&gt;=$C$38,EOMONTH(A94,0)&lt;=$C$39),E94*(1-$C$40)*(1-I$15),E94*(1-I$15)))+M94</f>
        <v>17178.75</v>
      </c>
      <c r="W94" s="181">
        <f>IF(C94&gt;$C$10,0,IF(AND($C$38&gt;0,A94&gt;=$C$38,EOMONTH(A94,0)&lt;=$C$39),E94*(1-$C$40)*(1-F$34),E94*(1-F$34)))+M94</f>
        <v>20268.75</v>
      </c>
      <c r="X94" s="179">
        <f>IF(C94&gt;$C$10,0,IF(AND($C$38&gt;0,A94&gt;=$C$38,EOMONTH(A94,0)&lt;=$C$39),E94*(1-$C$40)*(1-G$34),E94*(1-G$34)))+M94</f>
        <v>18208.75</v>
      </c>
      <c r="Y94" s="178">
        <f>IF(C94&gt;$C$10,0,IF(AND($C$38&gt;0,A94&gt;=$C$38,EOMONTH(A94,0)&lt;=$C$39),E94*(1-$C$40)*(1-H$34),E94*(1-H$34)))+M94</f>
        <v>17178.75</v>
      </c>
      <c r="Z94" s="179">
        <f>IF(C94&gt;$C$10,0,IF(AND($C$38&gt;0,A94&gt;=$C$38,EOMONTH(A94,0)&lt;=$C$39),E94*(1-$C$40)*(1-I$34),E94*(1-I$34)))+M94</f>
        <v>16148.75</v>
      </c>
      <c r="AA94" s="180">
        <f>IF(C94&gt;$C$10,0,IF(AND($C$38&gt;0,A94&gt;=$C$38,EOMONTH(A94,0)&lt;=$C$39),E94*(1-$C$40)*(1-J$34),E94*(1-J$34)))+M94</f>
        <v>15118.75</v>
      </c>
    </row>
    <row r="95" spans="1:27" x14ac:dyDescent="0.25">
      <c r="A95" s="98">
        <f>EDATE($C$8,20)</f>
        <v>43960</v>
      </c>
      <c r="B95" s="99">
        <f>EDATE($C$8,21)-1</f>
        <v>43990</v>
      </c>
      <c r="C95" s="92">
        <f t="shared" si="10"/>
        <v>21</v>
      </c>
      <c r="D95" s="100">
        <f t="shared" si="0"/>
        <v>2</v>
      </c>
      <c r="E95" s="101">
        <f t="shared" si="1"/>
        <v>10300</v>
      </c>
      <c r="F95" s="94">
        <f t="shared" si="11"/>
        <v>7209.9999999999991</v>
      </c>
      <c r="G95" s="95">
        <f t="shared" si="12"/>
        <v>-3090</v>
      </c>
      <c r="H95" s="94">
        <f t="shared" si="2"/>
        <v>3862.5</v>
      </c>
      <c r="I95" s="94">
        <f t="shared" si="3"/>
        <v>1931.25</v>
      </c>
      <c r="J95" s="94">
        <f t="shared" si="4"/>
        <v>3218.75</v>
      </c>
      <c r="K95" s="94">
        <f t="shared" si="5"/>
        <v>637.5</v>
      </c>
      <c r="L95" s="94">
        <f t="shared" si="6"/>
        <v>318.75</v>
      </c>
      <c r="M95" s="94">
        <f t="shared" si="7"/>
        <v>9968.75</v>
      </c>
      <c r="N95" s="101">
        <f t="shared" si="8"/>
        <v>17178.75</v>
      </c>
      <c r="O95" s="102">
        <f t="shared" si="9"/>
        <v>1.1452500000000001</v>
      </c>
      <c r="P95" s="101">
        <f>MAX(SUM(N95:N198)+S95,0)</f>
        <v>2292676.8457094147</v>
      </c>
      <c r="Q95" s="101">
        <f>SUM(F95:F198)</f>
        <v>1148883.0811699275</v>
      </c>
      <c r="R95" s="101">
        <f>SUM(M95:M198)</f>
        <v>1143793.764539483</v>
      </c>
      <c r="S95" s="103">
        <f>SUMPRODUCT(($C$55:$C$67)*($D$55:$D$67&gt;=$A95))</f>
        <v>0</v>
      </c>
      <c r="T95" s="150">
        <f>IF(C95&gt;$C$10,0,IF(AND($C$38&gt;0,A95&gt;=$C$38,EOMONTH(A95,0)&lt;=$C$39),E95*(1-$C$40)*(1-G$15),E95*(1-G$15)))+M95</f>
        <v>16457.75</v>
      </c>
      <c r="U95" s="150">
        <f>IF(C95&gt;$C$10,0,IF(AND($C$38&gt;0,A95&gt;=$C$38,EOMONTH(A95,0)&lt;=$C$39),E95*(1-$C$40)*(1-H$15),E95*(1-H$15)))+M95</f>
        <v>15736.75</v>
      </c>
      <c r="V95" s="150">
        <f>IF(C95&gt;$C$10,0,IF(AND($C$38&gt;0,A95&gt;=$C$38,EOMONTH(A95,0)&lt;=$C$39),E95*(1-$C$40)*(1-I$15),E95*(1-I$15)))+M95</f>
        <v>15015.75</v>
      </c>
      <c r="W95" s="181">
        <f>IF(C95&gt;$C$10,0,IF(AND($C$38&gt;0,A95&gt;=$C$38,EOMONTH(A95,0)&lt;=$C$39),E95*(1-$C$40)*(1-F$34),E95*(1-F$34)))+M95</f>
        <v>17178.75</v>
      </c>
      <c r="X95" s="179">
        <f>IF(C95&gt;$C$10,0,IF(AND($C$38&gt;0,A95&gt;=$C$38,EOMONTH(A95,0)&lt;=$C$39),E95*(1-$C$40)*(1-G$34),E95*(1-G$34)))+M95</f>
        <v>15736.75</v>
      </c>
      <c r="Y95" s="178">
        <f>IF(C95&gt;$C$10,0,IF(AND($C$38&gt;0,A95&gt;=$C$38,EOMONTH(A95,0)&lt;=$C$39),E95*(1-$C$40)*(1-H$34),E95*(1-H$34)))+M95</f>
        <v>15015.75</v>
      </c>
      <c r="Z95" s="179">
        <f>IF(C95&gt;$C$10,0,IF(AND($C$38&gt;0,A95&gt;=$C$38,EOMONTH(A95,0)&lt;=$C$39),E95*(1-$C$40)*(1-I$34),E95*(1-I$34)))+M95</f>
        <v>14294.75</v>
      </c>
      <c r="AA95" s="180">
        <f>IF(C95&gt;$C$10,0,IF(AND($C$38&gt;0,A95&gt;=$C$38,EOMONTH(A95,0)&lt;=$C$39),E95*(1-$C$40)*(1-J$34),E95*(1-J$34)))+M95</f>
        <v>13573.75</v>
      </c>
    </row>
    <row r="96" spans="1:27" x14ac:dyDescent="0.25">
      <c r="A96" s="104">
        <f>EDATE($C$8,21)</f>
        <v>43991</v>
      </c>
      <c r="B96" s="105">
        <f>EDATE($C$8,22)-1</f>
        <v>44020</v>
      </c>
      <c r="C96" s="92">
        <f t="shared" si="10"/>
        <v>22</v>
      </c>
      <c r="D96" s="106">
        <f t="shared" si="0"/>
        <v>2</v>
      </c>
      <c r="E96" s="107">
        <f t="shared" si="1"/>
        <v>10300</v>
      </c>
      <c r="F96" s="94">
        <f t="shared" si="11"/>
        <v>7209.9999999999991</v>
      </c>
      <c r="G96" s="95">
        <f t="shared" si="12"/>
        <v>-3090</v>
      </c>
      <c r="H96" s="94">
        <f t="shared" si="2"/>
        <v>3862.5</v>
      </c>
      <c r="I96" s="94">
        <f t="shared" si="3"/>
        <v>1931.25</v>
      </c>
      <c r="J96" s="94">
        <f t="shared" si="4"/>
        <v>3218.75</v>
      </c>
      <c r="K96" s="94">
        <f t="shared" si="5"/>
        <v>637.5</v>
      </c>
      <c r="L96" s="94">
        <f t="shared" si="6"/>
        <v>318.75</v>
      </c>
      <c r="M96" s="94">
        <f t="shared" si="7"/>
        <v>9968.75</v>
      </c>
      <c r="N96" s="107">
        <f t="shared" si="8"/>
        <v>17178.75</v>
      </c>
      <c r="O96" s="108">
        <f t="shared" si="9"/>
        <v>1.1452500000000001</v>
      </c>
      <c r="P96" s="107">
        <f>MAX(SUM(N96:N198)+S96,0)</f>
        <v>2275498.0957094147</v>
      </c>
      <c r="Q96" s="107">
        <f>SUM(F96:F198)</f>
        <v>1141673.0811699275</v>
      </c>
      <c r="R96" s="107">
        <f>SUM(M96:M198)</f>
        <v>1133825.0145394828</v>
      </c>
      <c r="S96" s="109">
        <f>SUMPRODUCT(($C$55:$C$67)*($D$55:$D$67&gt;=$A96))</f>
        <v>0</v>
      </c>
      <c r="T96" s="150">
        <f>IF(C96&gt;$C$10,0,IF(AND($C$38&gt;0,A96&gt;=$C$38,EOMONTH(A96,0)&lt;=$C$39),E96*(1-$C$40)*(1-G$15),E96*(1-G$15)))+M96</f>
        <v>16457.75</v>
      </c>
      <c r="U96" s="150">
        <f>IF(C96&gt;$C$10,0,IF(AND($C$38&gt;0,A96&gt;=$C$38,EOMONTH(A96,0)&lt;=$C$39),E96*(1-$C$40)*(1-H$15),E96*(1-H$15)))+M96</f>
        <v>15736.75</v>
      </c>
      <c r="V96" s="150">
        <f>IF(C96&gt;$C$10,0,IF(AND($C$38&gt;0,A96&gt;=$C$38,EOMONTH(A96,0)&lt;=$C$39),E96*(1-$C$40)*(1-I$15),E96*(1-I$15)))+M96</f>
        <v>15015.75</v>
      </c>
      <c r="W96" s="181">
        <f>IF(C96&gt;$C$10,0,IF(AND($C$38&gt;0,A96&gt;=$C$38,EOMONTH(A96,0)&lt;=$C$39),E96*(1-$C$40)*(1-F$34),E96*(1-F$34)))+M96</f>
        <v>17178.75</v>
      </c>
      <c r="X96" s="179">
        <f>IF(C96&gt;$C$10,0,IF(AND($C$38&gt;0,A96&gt;=$C$38,EOMONTH(A96,0)&lt;=$C$39),E96*(1-$C$40)*(1-G$34),E96*(1-G$34)))+M96</f>
        <v>15736.75</v>
      </c>
      <c r="Y96" s="178">
        <f>IF(C96&gt;$C$10,0,IF(AND($C$38&gt;0,A96&gt;=$C$38,EOMONTH(A96,0)&lt;=$C$39),E96*(1-$C$40)*(1-H$34),E96*(1-H$34)))+M96</f>
        <v>15015.75</v>
      </c>
      <c r="Z96" s="179">
        <f>IF(C96&gt;$C$10,0,IF(AND($C$38&gt;0,A96&gt;=$C$38,EOMONTH(A96,0)&lt;=$C$39),E96*(1-$C$40)*(1-I$34),E96*(1-I$34)))+M96</f>
        <v>14294.75</v>
      </c>
      <c r="AA96" s="180">
        <f>IF(C96&gt;$C$10,0,IF(AND($C$38&gt;0,A96&gt;=$C$38,EOMONTH(A96,0)&lt;=$C$39),E96*(1-$C$40)*(1-J$34),E96*(1-J$34)))+M96</f>
        <v>13573.75</v>
      </c>
    </row>
    <row r="97" spans="1:27" x14ac:dyDescent="0.25">
      <c r="A97" s="98">
        <f>EDATE($C$8,22)</f>
        <v>44021</v>
      </c>
      <c r="B97" s="99">
        <f>EDATE($C$8,23)-1</f>
        <v>44051</v>
      </c>
      <c r="C97" s="92">
        <f t="shared" si="10"/>
        <v>23</v>
      </c>
      <c r="D97" s="100">
        <f t="shared" si="0"/>
        <v>2</v>
      </c>
      <c r="E97" s="101">
        <f t="shared" si="1"/>
        <v>10300</v>
      </c>
      <c r="F97" s="94">
        <f t="shared" si="11"/>
        <v>7209.9999999999991</v>
      </c>
      <c r="G97" s="95">
        <f t="shared" si="12"/>
        <v>-3090</v>
      </c>
      <c r="H97" s="94">
        <f t="shared" si="2"/>
        <v>3862.5</v>
      </c>
      <c r="I97" s="94">
        <f t="shared" si="3"/>
        <v>1931.25</v>
      </c>
      <c r="J97" s="94">
        <f t="shared" si="4"/>
        <v>3218.75</v>
      </c>
      <c r="K97" s="94">
        <f t="shared" si="5"/>
        <v>637.5</v>
      </c>
      <c r="L97" s="94">
        <f t="shared" si="6"/>
        <v>318.75</v>
      </c>
      <c r="M97" s="94">
        <f t="shared" si="7"/>
        <v>9968.75</v>
      </c>
      <c r="N97" s="101">
        <f t="shared" si="8"/>
        <v>17178.75</v>
      </c>
      <c r="O97" s="102">
        <f t="shared" si="9"/>
        <v>1.1452500000000001</v>
      </c>
      <c r="P97" s="101">
        <f>MAX(SUM(N97:N198)+S97,0)</f>
        <v>2258319.3457094147</v>
      </c>
      <c r="Q97" s="101">
        <f>SUM(F97:F198)</f>
        <v>1134463.0811699275</v>
      </c>
      <c r="R97" s="101">
        <f>SUM(M97:M198)</f>
        <v>1123856.2645394825</v>
      </c>
      <c r="S97" s="103">
        <f>SUMPRODUCT(($C$55:$C$67)*($D$55:$D$67&gt;=$A97))</f>
        <v>0</v>
      </c>
      <c r="T97" s="150">
        <f>IF(C97&gt;$C$10,0,IF(AND($C$38&gt;0,A97&gt;=$C$38,EOMONTH(A97,0)&lt;=$C$39),E97*(1-$C$40)*(1-G$15),E97*(1-G$15)))+M97</f>
        <v>16457.75</v>
      </c>
      <c r="U97" s="150">
        <f>IF(C97&gt;$C$10,0,IF(AND($C$38&gt;0,A97&gt;=$C$38,EOMONTH(A97,0)&lt;=$C$39),E97*(1-$C$40)*(1-H$15),E97*(1-H$15)))+M97</f>
        <v>15736.75</v>
      </c>
      <c r="V97" s="150">
        <f>IF(C97&gt;$C$10,0,IF(AND($C$38&gt;0,A97&gt;=$C$38,EOMONTH(A97,0)&lt;=$C$39),E97*(1-$C$40)*(1-I$15),E97*(1-I$15)))+M97</f>
        <v>15015.75</v>
      </c>
      <c r="W97" s="181">
        <f>IF(C97&gt;$C$10,0,IF(AND($C$38&gt;0,A97&gt;=$C$38,EOMONTH(A97,0)&lt;=$C$39),E97*(1-$C$40)*(1-F$34),E97*(1-F$34)))+M97</f>
        <v>17178.75</v>
      </c>
      <c r="X97" s="179">
        <f>IF(C97&gt;$C$10,0,IF(AND($C$38&gt;0,A97&gt;=$C$38,EOMONTH(A97,0)&lt;=$C$39),E97*(1-$C$40)*(1-G$34),E97*(1-G$34)))+M97</f>
        <v>15736.75</v>
      </c>
      <c r="Y97" s="178">
        <f>IF(C97&gt;$C$10,0,IF(AND($C$38&gt;0,A97&gt;=$C$38,EOMONTH(A97,0)&lt;=$C$39),E97*(1-$C$40)*(1-H$34),E97*(1-H$34)))+M97</f>
        <v>15015.75</v>
      </c>
      <c r="Z97" s="179">
        <f>IF(C97&gt;$C$10,0,IF(AND($C$38&gt;0,A97&gt;=$C$38,EOMONTH(A97,0)&lt;=$C$39),E97*(1-$C$40)*(1-I$34),E97*(1-I$34)))+M97</f>
        <v>14294.75</v>
      </c>
      <c r="AA97" s="180">
        <f>IF(C97&gt;$C$10,0,IF(AND($C$38&gt;0,A97&gt;=$C$38,EOMONTH(A97,0)&lt;=$C$39),E97*(1-$C$40)*(1-J$34),E97*(1-J$34)))+M97</f>
        <v>13573.75</v>
      </c>
    </row>
    <row r="98" spans="1:27" x14ac:dyDescent="0.25">
      <c r="A98" s="104">
        <f>EDATE($C$8,23)</f>
        <v>44052</v>
      </c>
      <c r="B98" s="105">
        <f>EDATE($C$8,24)-1</f>
        <v>44082</v>
      </c>
      <c r="C98" s="92">
        <f t="shared" si="10"/>
        <v>24</v>
      </c>
      <c r="D98" s="106">
        <f t="shared" si="0"/>
        <v>2</v>
      </c>
      <c r="E98" s="107">
        <f t="shared" si="1"/>
        <v>10300</v>
      </c>
      <c r="F98" s="94">
        <f t="shared" si="11"/>
        <v>7209.9999999999991</v>
      </c>
      <c r="G98" s="95">
        <f t="shared" si="12"/>
        <v>-3090</v>
      </c>
      <c r="H98" s="94">
        <f t="shared" si="2"/>
        <v>3862.5</v>
      </c>
      <c r="I98" s="94">
        <f t="shared" si="3"/>
        <v>1931.25</v>
      </c>
      <c r="J98" s="94">
        <f t="shared" si="4"/>
        <v>3218.75</v>
      </c>
      <c r="K98" s="94">
        <f t="shared" si="5"/>
        <v>637.5</v>
      </c>
      <c r="L98" s="94">
        <f t="shared" si="6"/>
        <v>318.75</v>
      </c>
      <c r="M98" s="94">
        <f t="shared" si="7"/>
        <v>9968.75</v>
      </c>
      <c r="N98" s="107">
        <f t="shared" si="8"/>
        <v>17178.75</v>
      </c>
      <c r="O98" s="108">
        <f t="shared" si="9"/>
        <v>1.1452500000000001</v>
      </c>
      <c r="P98" s="107">
        <f>MAX(SUM(N98:N198)+S98,0)</f>
        <v>2241140.5957094147</v>
      </c>
      <c r="Q98" s="107">
        <f>SUM(F98:F198)</f>
        <v>1127253.0811699275</v>
      </c>
      <c r="R98" s="107">
        <f>SUM(M98:M198)</f>
        <v>1113887.5145394825</v>
      </c>
      <c r="S98" s="109">
        <f>SUMPRODUCT(($C$55:$C$67)*($D$55:$D$67&gt;=$A98))</f>
        <v>0</v>
      </c>
      <c r="T98" s="150">
        <f>IF(C98&gt;$C$10,0,IF(AND($C$38&gt;0,A98&gt;=$C$38,EOMONTH(A98,0)&lt;=$C$39),E98*(1-$C$40)*(1-G$15),E98*(1-G$15)))+M98</f>
        <v>16457.75</v>
      </c>
      <c r="U98" s="150">
        <f>IF(C98&gt;$C$10,0,IF(AND($C$38&gt;0,A98&gt;=$C$38,EOMONTH(A98,0)&lt;=$C$39),E98*(1-$C$40)*(1-H$15),E98*(1-H$15)))+M98</f>
        <v>15736.75</v>
      </c>
      <c r="V98" s="150">
        <f>IF(C98&gt;$C$10,0,IF(AND($C$38&gt;0,A98&gt;=$C$38,EOMONTH(A98,0)&lt;=$C$39),E98*(1-$C$40)*(1-I$15),E98*(1-I$15)))+M98</f>
        <v>15015.75</v>
      </c>
      <c r="W98" s="181">
        <f>IF(C98&gt;$C$10,0,IF(AND($C$38&gt;0,A98&gt;=$C$38,EOMONTH(A98,0)&lt;=$C$39),E98*(1-$C$40)*(1-F$34),E98*(1-F$34)))+M98</f>
        <v>17178.75</v>
      </c>
      <c r="X98" s="179">
        <f>IF(C98&gt;$C$10,0,IF(AND($C$38&gt;0,A98&gt;=$C$38,EOMONTH(A98,0)&lt;=$C$39),E98*(1-$C$40)*(1-G$34),E98*(1-G$34)))+M98</f>
        <v>15736.75</v>
      </c>
      <c r="Y98" s="178">
        <f>IF(C98&gt;$C$10,0,IF(AND($C$38&gt;0,A98&gt;=$C$38,EOMONTH(A98,0)&lt;=$C$39),E98*(1-$C$40)*(1-H$34),E98*(1-H$34)))+M98</f>
        <v>15015.75</v>
      </c>
      <c r="Z98" s="179">
        <f>IF(C98&gt;$C$10,0,IF(AND($C$38&gt;0,A98&gt;=$C$38,EOMONTH(A98,0)&lt;=$C$39),E98*(1-$C$40)*(1-I$34),E98*(1-I$34)))+M98</f>
        <v>14294.75</v>
      </c>
      <c r="AA98" s="180">
        <f>IF(C98&gt;$C$10,0,IF(AND($C$38&gt;0,A98&gt;=$C$38,EOMONTH(A98,0)&lt;=$C$39),E98*(1-$C$40)*(1-J$34),E98*(1-J$34)))+M98</f>
        <v>13573.75</v>
      </c>
    </row>
    <row r="99" spans="1:27" x14ac:dyDescent="0.25">
      <c r="A99" s="98">
        <f>EDATE($C$8,24)</f>
        <v>44083</v>
      </c>
      <c r="B99" s="99">
        <f>EDATE($C$8,25)-1</f>
        <v>44112</v>
      </c>
      <c r="C99" s="92">
        <f t="shared" si="10"/>
        <v>25</v>
      </c>
      <c r="D99" s="100">
        <f t="shared" si="0"/>
        <v>3</v>
      </c>
      <c r="E99" s="101">
        <f t="shared" si="1"/>
        <v>10609</v>
      </c>
      <c r="F99" s="94">
        <f t="shared" si="11"/>
        <v>7426.2999999999993</v>
      </c>
      <c r="G99" s="95">
        <f t="shared" si="12"/>
        <v>-3182.7</v>
      </c>
      <c r="H99" s="94">
        <f t="shared" si="2"/>
        <v>3978.375</v>
      </c>
      <c r="I99" s="94">
        <f t="shared" si="3"/>
        <v>1989.1875</v>
      </c>
      <c r="J99" s="94">
        <f t="shared" si="4"/>
        <v>3315.3125</v>
      </c>
      <c r="K99" s="94">
        <f t="shared" si="5"/>
        <v>650.25</v>
      </c>
      <c r="L99" s="94">
        <f t="shared" si="6"/>
        <v>325.125</v>
      </c>
      <c r="M99" s="94">
        <f t="shared" si="7"/>
        <v>10258.25</v>
      </c>
      <c r="N99" s="101">
        <f t="shared" si="8"/>
        <v>17684.55</v>
      </c>
      <c r="O99" s="102">
        <f t="shared" si="9"/>
        <v>1.1789699999999999</v>
      </c>
      <c r="P99" s="101">
        <f>MAX(SUM(N99:N198)+S99,0)</f>
        <v>2223961.8457094142</v>
      </c>
      <c r="Q99" s="101">
        <f>SUM(F99:F198)</f>
        <v>1120043.0811699275</v>
      </c>
      <c r="R99" s="101">
        <f>SUM(M99:M198)</f>
        <v>1103918.7645394823</v>
      </c>
      <c r="S99" s="103">
        <f>SUMPRODUCT(($C$55:$C$67)*($D$55:$D$67&gt;=$A99))</f>
        <v>0</v>
      </c>
      <c r="T99" s="150">
        <f>IF(C99&gt;$C$10,0,IF(AND($C$38&gt;0,A99&gt;=$C$38,EOMONTH(A99,0)&lt;=$C$39),E99*(1-$C$40)*(1-G$15),E99*(1-G$15)))+M99</f>
        <v>16941.919999999998</v>
      </c>
      <c r="U99" s="150">
        <f>IF(C99&gt;$C$10,0,IF(AND($C$38&gt;0,A99&gt;=$C$38,EOMONTH(A99,0)&lt;=$C$39),E99*(1-$C$40)*(1-H$15),E99*(1-H$15)))+M99</f>
        <v>16199.29</v>
      </c>
      <c r="V99" s="150">
        <f>IF(C99&gt;$C$10,0,IF(AND($C$38&gt;0,A99&gt;=$C$38,EOMONTH(A99,0)&lt;=$C$39),E99*(1-$C$40)*(1-I$15),E99*(1-I$15)))+M99</f>
        <v>15456.66</v>
      </c>
      <c r="W99" s="181">
        <f>IF(C99&gt;$C$10,0,IF(AND($C$38&gt;0,A99&gt;=$C$38,EOMONTH(A99,0)&lt;=$C$39),E99*(1-$C$40)*(1-F$34),E99*(1-F$34)))+M99</f>
        <v>17684.55</v>
      </c>
      <c r="X99" s="179">
        <f>IF(C99&gt;$C$10,0,IF(AND($C$38&gt;0,A99&gt;=$C$38,EOMONTH(A99,0)&lt;=$C$39),E99*(1-$C$40)*(1-G$34),E99*(1-G$34)))+M99</f>
        <v>16199.29</v>
      </c>
      <c r="Y99" s="178">
        <f>IF(C99&gt;$C$10,0,IF(AND($C$38&gt;0,A99&gt;=$C$38,EOMONTH(A99,0)&lt;=$C$39),E99*(1-$C$40)*(1-H$34),E99*(1-H$34)))+M99</f>
        <v>15456.66</v>
      </c>
      <c r="Z99" s="179">
        <f>IF(C99&gt;$C$10,0,IF(AND($C$38&gt;0,A99&gt;=$C$38,EOMONTH(A99,0)&lt;=$C$39),E99*(1-$C$40)*(1-I$34),E99*(1-I$34)))+M99</f>
        <v>14714.029999999999</v>
      </c>
      <c r="AA99" s="180">
        <f>IF(C99&gt;$C$10,0,IF(AND($C$38&gt;0,A99&gt;=$C$38,EOMONTH(A99,0)&lt;=$C$39),E99*(1-$C$40)*(1-J$34),E99*(1-J$34)))+M99</f>
        <v>13971.4</v>
      </c>
    </row>
    <row r="100" spans="1:27" x14ac:dyDescent="0.25">
      <c r="A100" s="104">
        <f>EDATE($C$8,25)</f>
        <v>44113</v>
      </c>
      <c r="B100" s="105">
        <f>EDATE($C$8,26)-1</f>
        <v>44143</v>
      </c>
      <c r="C100" s="92">
        <f t="shared" si="10"/>
        <v>26</v>
      </c>
      <c r="D100" s="106">
        <f t="shared" si="0"/>
        <v>3</v>
      </c>
      <c r="E100" s="107">
        <f t="shared" si="1"/>
        <v>10609</v>
      </c>
      <c r="F100" s="94">
        <f t="shared" si="11"/>
        <v>7426.2999999999993</v>
      </c>
      <c r="G100" s="95">
        <f t="shared" si="12"/>
        <v>-3182.7</v>
      </c>
      <c r="H100" s="94">
        <f t="shared" si="2"/>
        <v>3978.375</v>
      </c>
      <c r="I100" s="94">
        <f t="shared" si="3"/>
        <v>1989.1875</v>
      </c>
      <c r="J100" s="94">
        <f t="shared" si="4"/>
        <v>3315.3125</v>
      </c>
      <c r="K100" s="94">
        <f t="shared" si="5"/>
        <v>650.25</v>
      </c>
      <c r="L100" s="94">
        <f t="shared" si="6"/>
        <v>325.125</v>
      </c>
      <c r="M100" s="94">
        <f t="shared" si="7"/>
        <v>10258.25</v>
      </c>
      <c r="N100" s="107">
        <f t="shared" si="8"/>
        <v>17684.55</v>
      </c>
      <c r="O100" s="108">
        <f t="shared" si="9"/>
        <v>1.1789699999999999</v>
      </c>
      <c r="P100" s="107">
        <f>MAX(SUM(N100:N198)+S100,0)</f>
        <v>2206277.2957094144</v>
      </c>
      <c r="Q100" s="107">
        <f>SUM(F100:F198)</f>
        <v>1112616.7811699277</v>
      </c>
      <c r="R100" s="107">
        <f>SUM(M100:M198)</f>
        <v>1093660.5145394823</v>
      </c>
      <c r="S100" s="109">
        <f>SUMPRODUCT(($C$55:$C$67)*($D$55:$D$67&gt;=$A100))</f>
        <v>0</v>
      </c>
      <c r="T100" s="150">
        <f>IF(C100&gt;$C$10,0,IF(AND($C$38&gt;0,A100&gt;=$C$38,EOMONTH(A100,0)&lt;=$C$39),E100*(1-$C$40)*(1-G$15),E100*(1-G$15)))+M100</f>
        <v>16941.919999999998</v>
      </c>
      <c r="U100" s="150">
        <f>IF(C100&gt;$C$10,0,IF(AND($C$38&gt;0,A100&gt;=$C$38,EOMONTH(A100,0)&lt;=$C$39),E100*(1-$C$40)*(1-H$15),E100*(1-H$15)))+M100</f>
        <v>16199.29</v>
      </c>
      <c r="V100" s="150">
        <f>IF(C100&gt;$C$10,0,IF(AND($C$38&gt;0,A100&gt;=$C$38,EOMONTH(A100,0)&lt;=$C$39),E100*(1-$C$40)*(1-I$15),E100*(1-I$15)))+M100</f>
        <v>15456.66</v>
      </c>
      <c r="W100" s="181">
        <f>IF(C100&gt;$C$10,0,IF(AND($C$38&gt;0,A100&gt;=$C$38,EOMONTH(A100,0)&lt;=$C$39),E100*(1-$C$40)*(1-F$34),E100*(1-F$34)))+M100</f>
        <v>17684.55</v>
      </c>
      <c r="X100" s="179">
        <f>IF(C100&gt;$C$10,0,IF(AND($C$38&gt;0,A100&gt;=$C$38,EOMONTH(A100,0)&lt;=$C$39),E100*(1-$C$40)*(1-G$34),E100*(1-G$34)))+M100</f>
        <v>16199.29</v>
      </c>
      <c r="Y100" s="178">
        <f>IF(C100&gt;$C$10,0,IF(AND($C$38&gt;0,A100&gt;=$C$38,EOMONTH(A100,0)&lt;=$C$39),E100*(1-$C$40)*(1-H$34),E100*(1-H$34)))+M100</f>
        <v>15456.66</v>
      </c>
      <c r="Z100" s="179">
        <f>IF(C100&gt;$C$10,0,IF(AND($C$38&gt;0,A100&gt;=$C$38,EOMONTH(A100,0)&lt;=$C$39),E100*(1-$C$40)*(1-I$34),E100*(1-I$34)))+M100</f>
        <v>14714.029999999999</v>
      </c>
      <c r="AA100" s="180">
        <f>IF(C100&gt;$C$10,0,IF(AND($C$38&gt;0,A100&gt;=$C$38,EOMONTH(A100,0)&lt;=$C$39),E100*(1-$C$40)*(1-J$34),E100*(1-J$34)))+M100</f>
        <v>13971.4</v>
      </c>
    </row>
    <row r="101" spans="1:27" x14ac:dyDescent="0.25">
      <c r="A101" s="98">
        <f>EDATE($C$8,26)</f>
        <v>44144</v>
      </c>
      <c r="B101" s="99">
        <f>EDATE($C$8,27)-1</f>
        <v>44173</v>
      </c>
      <c r="C101" s="92">
        <f t="shared" si="10"/>
        <v>27</v>
      </c>
      <c r="D101" s="100">
        <f t="shared" si="0"/>
        <v>3</v>
      </c>
      <c r="E101" s="101">
        <f t="shared" si="1"/>
        <v>10609</v>
      </c>
      <c r="F101" s="94">
        <f t="shared" si="11"/>
        <v>7426.2999999999993</v>
      </c>
      <c r="G101" s="95">
        <f t="shared" si="12"/>
        <v>-3182.7</v>
      </c>
      <c r="H101" s="94">
        <f t="shared" si="2"/>
        <v>3978.375</v>
      </c>
      <c r="I101" s="94">
        <f t="shared" si="3"/>
        <v>1989.1875</v>
      </c>
      <c r="J101" s="94">
        <f t="shared" si="4"/>
        <v>3315.3125</v>
      </c>
      <c r="K101" s="94">
        <f t="shared" si="5"/>
        <v>650.25</v>
      </c>
      <c r="L101" s="94">
        <f t="shared" si="6"/>
        <v>325.125</v>
      </c>
      <c r="M101" s="94">
        <f t="shared" si="7"/>
        <v>10258.25</v>
      </c>
      <c r="N101" s="101">
        <f t="shared" si="8"/>
        <v>17684.55</v>
      </c>
      <c r="O101" s="102">
        <f t="shared" si="9"/>
        <v>1.1789699999999999</v>
      </c>
      <c r="P101" s="101">
        <f>MAX(SUM(N101:N198)+S101,0)</f>
        <v>2188592.7457094141</v>
      </c>
      <c r="Q101" s="101">
        <f>SUM(F101:F198)</f>
        <v>1105190.4811699276</v>
      </c>
      <c r="R101" s="101">
        <f>SUM(M101:M198)</f>
        <v>1083402.2645394821</v>
      </c>
      <c r="S101" s="103">
        <f>SUMPRODUCT(($C$55:$C$67)*($D$55:$D$67&gt;=$A101))</f>
        <v>0</v>
      </c>
      <c r="T101" s="150">
        <f>IF(C101&gt;$C$10,0,IF(AND($C$38&gt;0,A101&gt;=$C$38,EOMONTH(A101,0)&lt;=$C$39),E101*(1-$C$40)*(1-G$15),E101*(1-G$15)))+M101</f>
        <v>16941.919999999998</v>
      </c>
      <c r="U101" s="150">
        <f>IF(C101&gt;$C$10,0,IF(AND($C$38&gt;0,A101&gt;=$C$38,EOMONTH(A101,0)&lt;=$C$39),E101*(1-$C$40)*(1-H$15),E101*(1-H$15)))+M101</f>
        <v>16199.29</v>
      </c>
      <c r="V101" s="150">
        <f>IF(C101&gt;$C$10,0,IF(AND($C$38&gt;0,A101&gt;=$C$38,EOMONTH(A101,0)&lt;=$C$39),E101*(1-$C$40)*(1-I$15),E101*(1-I$15)))+M101</f>
        <v>15456.66</v>
      </c>
      <c r="W101" s="181">
        <f>IF(C101&gt;$C$10,0,IF(AND($C$38&gt;0,A101&gt;=$C$38,EOMONTH(A101,0)&lt;=$C$39),E101*(1-$C$40)*(1-F$34),E101*(1-F$34)))+M101</f>
        <v>17684.55</v>
      </c>
      <c r="X101" s="179">
        <f>IF(C101&gt;$C$10,0,IF(AND($C$38&gt;0,A101&gt;=$C$38,EOMONTH(A101,0)&lt;=$C$39),E101*(1-$C$40)*(1-G$34),E101*(1-G$34)))+M101</f>
        <v>16199.29</v>
      </c>
      <c r="Y101" s="178">
        <f>IF(C101&gt;$C$10,0,IF(AND($C$38&gt;0,A101&gt;=$C$38,EOMONTH(A101,0)&lt;=$C$39),E101*(1-$C$40)*(1-H$34),E101*(1-H$34)))+M101</f>
        <v>15456.66</v>
      </c>
      <c r="Z101" s="179">
        <f>IF(C101&gt;$C$10,0,IF(AND($C$38&gt;0,A101&gt;=$C$38,EOMONTH(A101,0)&lt;=$C$39),E101*(1-$C$40)*(1-I$34),E101*(1-I$34)))+M101</f>
        <v>14714.029999999999</v>
      </c>
      <c r="AA101" s="180">
        <f>IF(C101&gt;$C$10,0,IF(AND($C$38&gt;0,A101&gt;=$C$38,EOMONTH(A101,0)&lt;=$C$39),E101*(1-$C$40)*(1-J$34),E101*(1-J$34)))+M101</f>
        <v>13971.4</v>
      </c>
    </row>
    <row r="102" spans="1:27" x14ac:dyDescent="0.25">
      <c r="A102" s="104">
        <f>EDATE($C$8,27)</f>
        <v>44174</v>
      </c>
      <c r="B102" s="105">
        <f>EDATE($C$8,28)-1</f>
        <v>44204</v>
      </c>
      <c r="C102" s="92">
        <f t="shared" si="10"/>
        <v>28</v>
      </c>
      <c r="D102" s="106">
        <f t="shared" si="0"/>
        <v>3</v>
      </c>
      <c r="E102" s="107">
        <f t="shared" si="1"/>
        <v>10609</v>
      </c>
      <c r="F102" s="94">
        <f t="shared" si="11"/>
        <v>7426.2999999999993</v>
      </c>
      <c r="G102" s="95">
        <f t="shared" si="12"/>
        <v>-3182.7</v>
      </c>
      <c r="H102" s="94">
        <f t="shared" si="2"/>
        <v>3978.375</v>
      </c>
      <c r="I102" s="94">
        <f t="shared" si="3"/>
        <v>1989.1875</v>
      </c>
      <c r="J102" s="94">
        <f t="shared" si="4"/>
        <v>3315.3125</v>
      </c>
      <c r="K102" s="94">
        <f t="shared" si="5"/>
        <v>650.25</v>
      </c>
      <c r="L102" s="94">
        <f t="shared" si="6"/>
        <v>325.125</v>
      </c>
      <c r="M102" s="94">
        <f t="shared" si="7"/>
        <v>10258.25</v>
      </c>
      <c r="N102" s="107">
        <f t="shared" si="8"/>
        <v>17684.55</v>
      </c>
      <c r="O102" s="108">
        <f t="shared" si="9"/>
        <v>1.1789699999999999</v>
      </c>
      <c r="P102" s="107">
        <f>MAX(SUM(N102:N198)+S102,0)</f>
        <v>2170908.1957094143</v>
      </c>
      <c r="Q102" s="107">
        <f>SUM(F102:F198)</f>
        <v>1097764.1811699276</v>
      </c>
      <c r="R102" s="107">
        <f>SUM(M102:M198)</f>
        <v>1073144.0145394821</v>
      </c>
      <c r="S102" s="109">
        <f>SUMPRODUCT(($C$55:$C$67)*($D$55:$D$67&gt;=$A102))</f>
        <v>0</v>
      </c>
      <c r="T102" s="150">
        <f>IF(C102&gt;$C$10,0,IF(AND($C$38&gt;0,A102&gt;=$C$38,EOMONTH(A102,0)&lt;=$C$39),E102*(1-$C$40)*(1-G$15),E102*(1-G$15)))+M102</f>
        <v>16941.919999999998</v>
      </c>
      <c r="U102" s="150">
        <f>IF(C102&gt;$C$10,0,IF(AND($C$38&gt;0,A102&gt;=$C$38,EOMONTH(A102,0)&lt;=$C$39),E102*(1-$C$40)*(1-H$15),E102*(1-H$15)))+M102</f>
        <v>16199.29</v>
      </c>
      <c r="V102" s="150">
        <f>IF(C102&gt;$C$10,0,IF(AND($C$38&gt;0,A102&gt;=$C$38,EOMONTH(A102,0)&lt;=$C$39),E102*(1-$C$40)*(1-I$15),E102*(1-I$15)))+M102</f>
        <v>15456.66</v>
      </c>
      <c r="W102" s="181">
        <f>IF(C102&gt;$C$10,0,IF(AND($C$38&gt;0,A102&gt;=$C$38,EOMONTH(A102,0)&lt;=$C$39),E102*(1-$C$40)*(1-F$34),E102*(1-F$34)))+M102</f>
        <v>17684.55</v>
      </c>
      <c r="X102" s="179">
        <f>IF(C102&gt;$C$10,0,IF(AND($C$38&gt;0,A102&gt;=$C$38,EOMONTH(A102,0)&lt;=$C$39),E102*(1-$C$40)*(1-G$34),E102*(1-G$34)))+M102</f>
        <v>16199.29</v>
      </c>
      <c r="Y102" s="178">
        <f>IF(C102&gt;$C$10,0,IF(AND($C$38&gt;0,A102&gt;=$C$38,EOMONTH(A102,0)&lt;=$C$39),E102*(1-$C$40)*(1-H$34),E102*(1-H$34)))+M102</f>
        <v>15456.66</v>
      </c>
      <c r="Z102" s="179">
        <f>IF(C102&gt;$C$10,0,IF(AND($C$38&gt;0,A102&gt;=$C$38,EOMONTH(A102,0)&lt;=$C$39),E102*(1-$C$40)*(1-I$34),E102*(1-I$34)))+M102</f>
        <v>14714.029999999999</v>
      </c>
      <c r="AA102" s="180">
        <f>IF(C102&gt;$C$10,0,IF(AND($C$38&gt;0,A102&gt;=$C$38,EOMONTH(A102,0)&lt;=$C$39),E102*(1-$C$40)*(1-J$34),E102*(1-J$34)))+M102</f>
        <v>13971.4</v>
      </c>
    </row>
    <row r="103" spans="1:27" x14ac:dyDescent="0.25">
      <c r="A103" s="98">
        <f>EDATE($C$8,28)</f>
        <v>44205</v>
      </c>
      <c r="B103" s="99">
        <f>EDATE($C$8,29)-1</f>
        <v>44235</v>
      </c>
      <c r="C103" s="92">
        <f t="shared" si="10"/>
        <v>29</v>
      </c>
      <c r="D103" s="100">
        <f t="shared" si="0"/>
        <v>3</v>
      </c>
      <c r="E103" s="101">
        <f t="shared" si="1"/>
        <v>10609</v>
      </c>
      <c r="F103" s="94">
        <f t="shared" si="11"/>
        <v>7426.2999999999993</v>
      </c>
      <c r="G103" s="95">
        <f t="shared" si="12"/>
        <v>-3182.7</v>
      </c>
      <c r="H103" s="94">
        <f t="shared" si="2"/>
        <v>3978.375</v>
      </c>
      <c r="I103" s="94">
        <f t="shared" si="3"/>
        <v>1989.1875</v>
      </c>
      <c r="J103" s="94">
        <f t="shared" si="4"/>
        <v>3315.3125</v>
      </c>
      <c r="K103" s="94">
        <f t="shared" si="5"/>
        <v>650.25</v>
      </c>
      <c r="L103" s="94">
        <f t="shared" si="6"/>
        <v>325.125</v>
      </c>
      <c r="M103" s="94">
        <f t="shared" si="7"/>
        <v>10258.25</v>
      </c>
      <c r="N103" s="101">
        <f t="shared" si="8"/>
        <v>17684.55</v>
      </c>
      <c r="O103" s="102">
        <f t="shared" si="9"/>
        <v>1.1789699999999999</v>
      </c>
      <c r="P103" s="101">
        <f>MAX(SUM(N103:N198)+S103,0)</f>
        <v>2153223.645709414</v>
      </c>
      <c r="Q103" s="101">
        <f>SUM(F103:F198)</f>
        <v>1090337.8811699275</v>
      </c>
      <c r="R103" s="101">
        <f>SUM(M103:M198)</f>
        <v>1062885.7645394821</v>
      </c>
      <c r="S103" s="103">
        <f>SUMPRODUCT(($C$55:$C$67)*($D$55:$D$67&gt;=$A103))</f>
        <v>0</v>
      </c>
      <c r="T103" s="150">
        <f>IF(C103&gt;$C$10,0,IF(AND($C$38&gt;0,A103&gt;=$C$38,EOMONTH(A103,0)&lt;=$C$39),E103*(1-$C$40)*(1-G$15),E103*(1-G$15)))+M103</f>
        <v>16941.919999999998</v>
      </c>
      <c r="U103" s="150">
        <f>IF(C103&gt;$C$10,0,IF(AND($C$38&gt;0,A103&gt;=$C$38,EOMONTH(A103,0)&lt;=$C$39),E103*(1-$C$40)*(1-H$15),E103*(1-H$15)))+M103</f>
        <v>16199.29</v>
      </c>
      <c r="V103" s="150">
        <f>IF(C103&gt;$C$10,0,IF(AND($C$38&gt;0,A103&gt;=$C$38,EOMONTH(A103,0)&lt;=$C$39),E103*(1-$C$40)*(1-I$15),E103*(1-I$15)))+M103</f>
        <v>15456.66</v>
      </c>
      <c r="W103" s="181">
        <f>IF(C103&gt;$C$10,0,IF(AND($C$38&gt;0,A103&gt;=$C$38,EOMONTH(A103,0)&lt;=$C$39),E103*(1-$C$40)*(1-F$34),E103*(1-F$34)))+M103</f>
        <v>17684.55</v>
      </c>
      <c r="X103" s="179">
        <f>IF(C103&gt;$C$10,0,IF(AND($C$38&gt;0,A103&gt;=$C$38,EOMONTH(A103,0)&lt;=$C$39),E103*(1-$C$40)*(1-G$34),E103*(1-G$34)))+M103</f>
        <v>16199.29</v>
      </c>
      <c r="Y103" s="178">
        <f>IF(C103&gt;$C$10,0,IF(AND($C$38&gt;0,A103&gt;=$C$38,EOMONTH(A103,0)&lt;=$C$39),E103*(1-$C$40)*(1-H$34),E103*(1-H$34)))+M103</f>
        <v>15456.66</v>
      </c>
      <c r="Z103" s="179">
        <f>IF(C103&gt;$C$10,0,IF(AND($C$38&gt;0,A103&gt;=$C$38,EOMONTH(A103,0)&lt;=$C$39),E103*(1-$C$40)*(1-I$34),E103*(1-I$34)))+M103</f>
        <v>14714.029999999999</v>
      </c>
      <c r="AA103" s="180">
        <f>IF(C103&gt;$C$10,0,IF(AND($C$38&gt;0,A103&gt;=$C$38,EOMONTH(A103,0)&lt;=$C$39),E103*(1-$C$40)*(1-J$34),E103*(1-J$34)))+M103</f>
        <v>13971.4</v>
      </c>
    </row>
    <row r="104" spans="1:27" x14ac:dyDescent="0.25">
      <c r="A104" s="104">
        <f>EDATE($C$8,29)</f>
        <v>44236</v>
      </c>
      <c r="B104" s="105">
        <f>EDATE($C$8,30)-1</f>
        <v>44263</v>
      </c>
      <c r="C104" s="92">
        <f t="shared" si="10"/>
        <v>30</v>
      </c>
      <c r="D104" s="106">
        <f t="shared" si="0"/>
        <v>3</v>
      </c>
      <c r="E104" s="107">
        <f t="shared" si="1"/>
        <v>10609</v>
      </c>
      <c r="F104" s="94">
        <f t="shared" si="11"/>
        <v>7426.2999999999993</v>
      </c>
      <c r="G104" s="95">
        <f t="shared" si="12"/>
        <v>-3182.7</v>
      </c>
      <c r="H104" s="94">
        <f t="shared" si="2"/>
        <v>3978.375</v>
      </c>
      <c r="I104" s="94">
        <f t="shared" si="3"/>
        <v>1989.1875</v>
      </c>
      <c r="J104" s="94">
        <f t="shared" si="4"/>
        <v>3315.3125</v>
      </c>
      <c r="K104" s="94">
        <f t="shared" si="5"/>
        <v>650.25</v>
      </c>
      <c r="L104" s="94">
        <f t="shared" si="6"/>
        <v>325.125</v>
      </c>
      <c r="M104" s="94">
        <f t="shared" si="7"/>
        <v>10258.25</v>
      </c>
      <c r="N104" s="107">
        <f t="shared" si="8"/>
        <v>17684.55</v>
      </c>
      <c r="O104" s="108">
        <f t="shared" si="9"/>
        <v>1.1789699999999999</v>
      </c>
      <c r="P104" s="107">
        <f>MAX(SUM(N104:N198)+S104,0)</f>
        <v>2135539.0957094142</v>
      </c>
      <c r="Q104" s="107">
        <f>SUM(F104:F198)</f>
        <v>1082911.5811699275</v>
      </c>
      <c r="R104" s="107">
        <f>SUM(M104:M198)</f>
        <v>1052627.5145394821</v>
      </c>
      <c r="S104" s="109">
        <f>SUMPRODUCT(($C$55:$C$67)*($D$55:$D$67&gt;=$A104))</f>
        <v>0</v>
      </c>
      <c r="T104" s="150">
        <f>IF(C104&gt;$C$10,0,IF(AND($C$38&gt;0,A104&gt;=$C$38,EOMONTH(A104,0)&lt;=$C$39),E104*(1-$C$40)*(1-G$15),E104*(1-G$15)))+M104</f>
        <v>16941.919999999998</v>
      </c>
      <c r="U104" s="150">
        <f>IF(C104&gt;$C$10,0,IF(AND($C$38&gt;0,A104&gt;=$C$38,EOMONTH(A104,0)&lt;=$C$39),E104*(1-$C$40)*(1-H$15),E104*(1-H$15)))+M104</f>
        <v>16199.29</v>
      </c>
      <c r="V104" s="150">
        <f>IF(C104&gt;$C$10,0,IF(AND($C$38&gt;0,A104&gt;=$C$38,EOMONTH(A104,0)&lt;=$C$39),E104*(1-$C$40)*(1-I$15),E104*(1-I$15)))+M104</f>
        <v>15456.66</v>
      </c>
      <c r="W104" s="181">
        <f>IF(C104&gt;$C$10,0,IF(AND($C$38&gt;0,A104&gt;=$C$38,EOMONTH(A104,0)&lt;=$C$39),E104*(1-$C$40)*(1-F$34),E104*(1-F$34)))+M104</f>
        <v>17684.55</v>
      </c>
      <c r="X104" s="179">
        <f>IF(C104&gt;$C$10,0,IF(AND($C$38&gt;0,A104&gt;=$C$38,EOMONTH(A104,0)&lt;=$C$39),E104*(1-$C$40)*(1-G$34),E104*(1-G$34)))+M104</f>
        <v>16199.29</v>
      </c>
      <c r="Y104" s="178">
        <f>IF(C104&gt;$C$10,0,IF(AND($C$38&gt;0,A104&gt;=$C$38,EOMONTH(A104,0)&lt;=$C$39),E104*(1-$C$40)*(1-H$34),E104*(1-H$34)))+M104</f>
        <v>15456.66</v>
      </c>
      <c r="Z104" s="179">
        <f>IF(C104&gt;$C$10,0,IF(AND($C$38&gt;0,A104&gt;=$C$38,EOMONTH(A104,0)&lt;=$C$39),E104*(1-$C$40)*(1-I$34),E104*(1-I$34)))+M104</f>
        <v>14714.029999999999</v>
      </c>
      <c r="AA104" s="180">
        <f>IF(C104&gt;$C$10,0,IF(AND($C$38&gt;0,A104&gt;=$C$38,EOMONTH(A104,0)&lt;=$C$39),E104*(1-$C$40)*(1-J$34),E104*(1-J$34)))+M104</f>
        <v>13971.4</v>
      </c>
    </row>
    <row r="105" spans="1:27" x14ac:dyDescent="0.25">
      <c r="A105" s="98">
        <f>EDATE($C$8,30)</f>
        <v>44264</v>
      </c>
      <c r="B105" s="99">
        <f>EDATE($C$8,31)-1</f>
        <v>44294</v>
      </c>
      <c r="C105" s="92">
        <f t="shared" si="10"/>
        <v>31</v>
      </c>
      <c r="D105" s="100">
        <f t="shared" si="0"/>
        <v>3</v>
      </c>
      <c r="E105" s="101">
        <f t="shared" si="1"/>
        <v>10609</v>
      </c>
      <c r="F105" s="94">
        <f t="shared" si="11"/>
        <v>7426.2999999999993</v>
      </c>
      <c r="G105" s="95">
        <f t="shared" si="12"/>
        <v>-3182.7</v>
      </c>
      <c r="H105" s="94">
        <f t="shared" si="2"/>
        <v>3978.375</v>
      </c>
      <c r="I105" s="94">
        <f t="shared" si="3"/>
        <v>1989.1875</v>
      </c>
      <c r="J105" s="94">
        <f t="shared" si="4"/>
        <v>3315.3125</v>
      </c>
      <c r="K105" s="94">
        <f t="shared" si="5"/>
        <v>650.25</v>
      </c>
      <c r="L105" s="94">
        <f t="shared" si="6"/>
        <v>325.125</v>
      </c>
      <c r="M105" s="94">
        <f t="shared" si="7"/>
        <v>10258.25</v>
      </c>
      <c r="N105" s="101">
        <f t="shared" si="8"/>
        <v>17684.55</v>
      </c>
      <c r="O105" s="102">
        <f t="shared" si="9"/>
        <v>1.1789699999999999</v>
      </c>
      <c r="P105" s="101">
        <f>MAX(SUM(N105:N198)+S105,0)</f>
        <v>2117854.5457094144</v>
      </c>
      <c r="Q105" s="101">
        <f>SUM(F105:F198)</f>
        <v>1075485.2811699277</v>
      </c>
      <c r="R105" s="101">
        <f>SUM(M105:M198)</f>
        <v>1042369.2645394823</v>
      </c>
      <c r="S105" s="103">
        <f>SUMPRODUCT(($C$55:$C$67)*($D$55:$D$67&gt;=$A105))</f>
        <v>0</v>
      </c>
      <c r="T105" s="150">
        <f>IF(C105&gt;$C$10,0,IF(AND($C$38&gt;0,A105&gt;=$C$38,EOMONTH(A105,0)&lt;=$C$39),E105*(1-$C$40)*(1-G$15),E105*(1-G$15)))+M105</f>
        <v>16941.919999999998</v>
      </c>
      <c r="U105" s="150">
        <f>IF(C105&gt;$C$10,0,IF(AND($C$38&gt;0,A105&gt;=$C$38,EOMONTH(A105,0)&lt;=$C$39),E105*(1-$C$40)*(1-H$15),E105*(1-H$15)))+M105</f>
        <v>16199.29</v>
      </c>
      <c r="V105" s="150">
        <f>IF(C105&gt;$C$10,0,IF(AND($C$38&gt;0,A105&gt;=$C$38,EOMONTH(A105,0)&lt;=$C$39),E105*(1-$C$40)*(1-I$15),E105*(1-I$15)))+M105</f>
        <v>15456.66</v>
      </c>
      <c r="W105" s="181">
        <f>IF(C105&gt;$C$10,0,IF(AND($C$38&gt;0,A105&gt;=$C$38,EOMONTH(A105,0)&lt;=$C$39),E105*(1-$C$40)*(1-F$34),E105*(1-F$34)))+M105</f>
        <v>17684.55</v>
      </c>
      <c r="X105" s="179">
        <f>IF(C105&gt;$C$10,0,IF(AND($C$38&gt;0,A105&gt;=$C$38,EOMONTH(A105,0)&lt;=$C$39),E105*(1-$C$40)*(1-G$34),E105*(1-G$34)))+M105</f>
        <v>16199.29</v>
      </c>
      <c r="Y105" s="178">
        <f>IF(C105&gt;$C$10,0,IF(AND($C$38&gt;0,A105&gt;=$C$38,EOMONTH(A105,0)&lt;=$C$39),E105*(1-$C$40)*(1-H$34),E105*(1-H$34)))+M105</f>
        <v>15456.66</v>
      </c>
      <c r="Z105" s="179">
        <f>IF(C105&gt;$C$10,0,IF(AND($C$38&gt;0,A105&gt;=$C$38,EOMONTH(A105,0)&lt;=$C$39),E105*(1-$C$40)*(1-I$34),E105*(1-I$34)))+M105</f>
        <v>14714.029999999999</v>
      </c>
      <c r="AA105" s="180">
        <f>IF(C105&gt;$C$10,0,IF(AND($C$38&gt;0,A105&gt;=$C$38,EOMONTH(A105,0)&lt;=$C$39),E105*(1-$C$40)*(1-J$34),E105*(1-J$34)))+M105</f>
        <v>13971.4</v>
      </c>
    </row>
    <row r="106" spans="1:27" x14ac:dyDescent="0.25">
      <c r="A106" s="104">
        <f>EDATE($C$8,31)</f>
        <v>44295</v>
      </c>
      <c r="B106" s="105">
        <f>EDATE($C$8,32)-1</f>
        <v>44324</v>
      </c>
      <c r="C106" s="92">
        <f t="shared" si="10"/>
        <v>32</v>
      </c>
      <c r="D106" s="106">
        <f t="shared" si="0"/>
        <v>3</v>
      </c>
      <c r="E106" s="107">
        <f t="shared" si="1"/>
        <v>10609</v>
      </c>
      <c r="F106" s="94">
        <f t="shared" si="11"/>
        <v>7426.2999999999993</v>
      </c>
      <c r="G106" s="95">
        <f t="shared" si="12"/>
        <v>-3182.7</v>
      </c>
      <c r="H106" s="94">
        <f t="shared" si="2"/>
        <v>3978.375</v>
      </c>
      <c r="I106" s="94">
        <f t="shared" si="3"/>
        <v>1989.1875</v>
      </c>
      <c r="J106" s="94">
        <f t="shared" si="4"/>
        <v>3315.3125</v>
      </c>
      <c r="K106" s="94">
        <f t="shared" si="5"/>
        <v>650.25</v>
      </c>
      <c r="L106" s="94">
        <f t="shared" si="6"/>
        <v>325.125</v>
      </c>
      <c r="M106" s="94">
        <f t="shared" si="7"/>
        <v>10258.25</v>
      </c>
      <c r="N106" s="107">
        <f t="shared" si="8"/>
        <v>17684.55</v>
      </c>
      <c r="O106" s="108">
        <f t="shared" si="9"/>
        <v>1.1789699999999999</v>
      </c>
      <c r="P106" s="107">
        <f>MAX(SUM(N106:N198)+S106,0)</f>
        <v>2100169.9957094141</v>
      </c>
      <c r="Q106" s="107">
        <f>SUM(F106:F198)</f>
        <v>1068058.9811699276</v>
      </c>
      <c r="R106" s="107">
        <f>SUM(M106:M198)</f>
        <v>1032111.0145394823</v>
      </c>
      <c r="S106" s="109">
        <f>SUMPRODUCT(($C$55:$C$67)*($D$55:$D$67&gt;=$A106))</f>
        <v>0</v>
      </c>
      <c r="T106" s="150">
        <f>IF(C106&gt;$C$10,0,IF(AND($C$38&gt;0,A106&gt;=$C$38,EOMONTH(A106,0)&lt;=$C$39),E106*(1-$C$40)*(1-G$15),E106*(1-G$15)))+M106</f>
        <v>16941.919999999998</v>
      </c>
      <c r="U106" s="150">
        <f>IF(C106&gt;$C$10,0,IF(AND($C$38&gt;0,A106&gt;=$C$38,EOMONTH(A106,0)&lt;=$C$39),E106*(1-$C$40)*(1-H$15),E106*(1-H$15)))+M106</f>
        <v>16199.29</v>
      </c>
      <c r="V106" s="150">
        <f>IF(C106&gt;$C$10,0,IF(AND($C$38&gt;0,A106&gt;=$C$38,EOMONTH(A106,0)&lt;=$C$39),E106*(1-$C$40)*(1-I$15),E106*(1-I$15)))+M106</f>
        <v>15456.66</v>
      </c>
      <c r="W106" s="181">
        <f>IF(C106&gt;$C$10,0,IF(AND($C$38&gt;0,A106&gt;=$C$38,EOMONTH(A106,0)&lt;=$C$39),E106*(1-$C$40)*(1-F$34),E106*(1-F$34)))+M106</f>
        <v>17684.55</v>
      </c>
      <c r="X106" s="179">
        <f>IF(C106&gt;$C$10,0,IF(AND($C$38&gt;0,A106&gt;=$C$38,EOMONTH(A106,0)&lt;=$C$39),E106*(1-$C$40)*(1-G$34),E106*(1-G$34)))+M106</f>
        <v>16199.29</v>
      </c>
      <c r="Y106" s="178">
        <f>IF(C106&gt;$C$10,0,IF(AND($C$38&gt;0,A106&gt;=$C$38,EOMONTH(A106,0)&lt;=$C$39),E106*(1-$C$40)*(1-H$34),E106*(1-H$34)))+M106</f>
        <v>15456.66</v>
      </c>
      <c r="Z106" s="179">
        <f>IF(C106&gt;$C$10,0,IF(AND($C$38&gt;0,A106&gt;=$C$38,EOMONTH(A106,0)&lt;=$C$39),E106*(1-$C$40)*(1-I$34),E106*(1-I$34)))+M106</f>
        <v>14714.029999999999</v>
      </c>
      <c r="AA106" s="180">
        <f>IF(C106&gt;$C$10,0,IF(AND($C$38&gt;0,A106&gt;=$C$38,EOMONTH(A106,0)&lt;=$C$39),E106*(1-$C$40)*(1-J$34),E106*(1-J$34)))+M106</f>
        <v>13971.4</v>
      </c>
    </row>
    <row r="107" spans="1:27" x14ac:dyDescent="0.25">
      <c r="A107" s="98">
        <f>EDATE($C$8,32)</f>
        <v>44325</v>
      </c>
      <c r="B107" s="99">
        <f>EDATE($C$8,33)-1</f>
        <v>44355</v>
      </c>
      <c r="C107" s="92">
        <f t="shared" si="10"/>
        <v>33</v>
      </c>
      <c r="D107" s="100">
        <f t="shared" ref="D107:D138" si="13">INT((C107-1)/12)+1</f>
        <v>3</v>
      </c>
      <c r="E107" s="101">
        <f t="shared" ref="E107:E138" si="14">IF(C107&gt;$C$10,0,$C$21*(1+$C$29)^(D107-1))</f>
        <v>10609</v>
      </c>
      <c r="F107" s="94">
        <f t="shared" si="11"/>
        <v>10609</v>
      </c>
      <c r="G107" s="95">
        <f t="shared" si="12"/>
        <v>0</v>
      </c>
      <c r="H107" s="94">
        <f t="shared" ref="H107:H138" si="15">IF(C107&gt;$C$10,0,$C$24*(1+$C$30)^(D107-1))</f>
        <v>3978.375</v>
      </c>
      <c r="I107" s="94">
        <f t="shared" ref="I107:I138" si="16">IF(C107&gt;$C$10,0,$C$22*(1+$C$31)^(D107-1))</f>
        <v>1989.1875</v>
      </c>
      <c r="J107" s="94">
        <f t="shared" ref="J107:J138" si="17">IF(C107&gt;$C$10,0,$C$23*(1+$C$32)^(D107-1))</f>
        <v>3315.3125</v>
      </c>
      <c r="K107" s="94">
        <f t="shared" ref="K107:K138" si="18">IF(C107&gt;$C$10,0,$C$25*(1+$C$33)^(D107-1))</f>
        <v>650.25</v>
      </c>
      <c r="L107" s="94">
        <f t="shared" ref="L107:L138" si="19">IF(C107&gt;$C$10,0,$C$26*(1+$C$34)^(D107-1))</f>
        <v>325.125</v>
      </c>
      <c r="M107" s="94">
        <f t="shared" si="7"/>
        <v>10258.25</v>
      </c>
      <c r="N107" s="101">
        <f t="shared" ref="N107:N138" si="20">F107+M107</f>
        <v>20867.25</v>
      </c>
      <c r="O107" s="102">
        <f t="shared" si="9"/>
        <v>1.3911500000000001</v>
      </c>
      <c r="P107" s="101">
        <f>MAX(SUM(N107:N198)+S107,0)</f>
        <v>2082485.4457094143</v>
      </c>
      <c r="Q107" s="101">
        <f>SUM(F107:F198)</f>
        <v>1060632.6811699276</v>
      </c>
      <c r="R107" s="101">
        <f>SUM(M107:M198)</f>
        <v>1021852.7645394823</v>
      </c>
      <c r="S107" s="103">
        <f>SUMPRODUCT(($C$55:$C$67)*($D$55:$D$67&gt;=$A107))</f>
        <v>0</v>
      </c>
      <c r="T107" s="150">
        <f>IF(C107&gt;$C$10,0,IF(AND($C$38&gt;0,A107&gt;=$C$38,EOMONTH(A107,0)&lt;=$C$39),E107*(1-$C$40)*(1-G$15),E107*(1-G$15)))+M107</f>
        <v>19806.349999999999</v>
      </c>
      <c r="U107" s="150">
        <f>IF(C107&gt;$C$10,0,IF(AND($C$38&gt;0,A107&gt;=$C$38,EOMONTH(A107,0)&lt;=$C$39),E107*(1-$C$40)*(1-H$15),E107*(1-H$15)))+M107</f>
        <v>18745.45</v>
      </c>
      <c r="V107" s="150">
        <f>IF(C107&gt;$C$10,0,IF(AND($C$38&gt;0,A107&gt;=$C$38,EOMONTH(A107,0)&lt;=$C$39),E107*(1-$C$40)*(1-I$15),E107*(1-I$15)))+M107</f>
        <v>17684.55</v>
      </c>
      <c r="W107" s="181">
        <f>IF(C107&gt;$C$10,0,IF(AND($C$38&gt;0,A107&gt;=$C$38,EOMONTH(A107,0)&lt;=$C$39),E107*(1-$C$40)*(1-F$34),E107*(1-F$34)))+M107</f>
        <v>20867.25</v>
      </c>
      <c r="X107" s="179">
        <f>IF(C107&gt;$C$10,0,IF(AND($C$38&gt;0,A107&gt;=$C$38,EOMONTH(A107,0)&lt;=$C$39),E107*(1-$C$40)*(1-G$34),E107*(1-G$34)))+M107</f>
        <v>18745.45</v>
      </c>
      <c r="Y107" s="178">
        <f>IF(C107&gt;$C$10,0,IF(AND($C$38&gt;0,A107&gt;=$C$38,EOMONTH(A107,0)&lt;=$C$39),E107*(1-$C$40)*(1-H$34),E107*(1-H$34)))+M107</f>
        <v>17684.55</v>
      </c>
      <c r="Z107" s="179">
        <f>IF(C107&gt;$C$10,0,IF(AND($C$38&gt;0,A107&gt;=$C$38,EOMONTH(A107,0)&lt;=$C$39),E107*(1-$C$40)*(1-I$34),E107*(1-I$34)))+M107</f>
        <v>16623.650000000001</v>
      </c>
      <c r="AA107" s="180">
        <f>IF(C107&gt;$C$10,0,IF(AND($C$38&gt;0,A107&gt;=$C$38,EOMONTH(A107,0)&lt;=$C$39),E107*(1-$C$40)*(1-J$34),E107*(1-J$34)))+M107</f>
        <v>15562.75</v>
      </c>
    </row>
    <row r="108" spans="1:27" x14ac:dyDescent="0.25">
      <c r="A108" s="104">
        <f>EDATE($C$8,33)</f>
        <v>44356</v>
      </c>
      <c r="B108" s="105">
        <f>EDATE($C$8,34)-1</f>
        <v>44385</v>
      </c>
      <c r="C108" s="92">
        <f t="shared" si="10"/>
        <v>34</v>
      </c>
      <c r="D108" s="106">
        <f t="shared" si="13"/>
        <v>3</v>
      </c>
      <c r="E108" s="107">
        <f t="shared" si="14"/>
        <v>10609</v>
      </c>
      <c r="F108" s="94">
        <f t="shared" si="11"/>
        <v>10609</v>
      </c>
      <c r="G108" s="95">
        <f t="shared" si="12"/>
        <v>0</v>
      </c>
      <c r="H108" s="94">
        <f t="shared" si="15"/>
        <v>3978.375</v>
      </c>
      <c r="I108" s="94">
        <f t="shared" si="16"/>
        <v>1989.1875</v>
      </c>
      <c r="J108" s="94">
        <f t="shared" si="17"/>
        <v>3315.3125</v>
      </c>
      <c r="K108" s="94">
        <f t="shared" si="18"/>
        <v>650.25</v>
      </c>
      <c r="L108" s="94">
        <f t="shared" si="19"/>
        <v>325.125</v>
      </c>
      <c r="M108" s="94">
        <f t="shared" si="7"/>
        <v>10258.25</v>
      </c>
      <c r="N108" s="107">
        <f t="shared" si="20"/>
        <v>20867.25</v>
      </c>
      <c r="O108" s="108">
        <f t="shared" si="9"/>
        <v>1.3911500000000001</v>
      </c>
      <c r="P108" s="107">
        <f>MAX(SUM(N108:N198)+S108,0)</f>
        <v>2061618.1957094141</v>
      </c>
      <c r="Q108" s="107">
        <f>SUM(F108:F198)</f>
        <v>1050023.6811699276</v>
      </c>
      <c r="R108" s="107">
        <f>SUM(M108:M198)</f>
        <v>1011594.5145394823</v>
      </c>
      <c r="S108" s="109">
        <f>SUMPRODUCT(($C$55:$C$67)*($D$55:$D$67&gt;=$A108))</f>
        <v>0</v>
      </c>
      <c r="T108" s="150">
        <f>IF(C108&gt;$C$10,0,IF(AND($C$38&gt;0,A108&gt;=$C$38,EOMONTH(A108,0)&lt;=$C$39),E108*(1-$C$40)*(1-G$15),E108*(1-G$15)))+M108</f>
        <v>19806.349999999999</v>
      </c>
      <c r="U108" s="150">
        <f>IF(C108&gt;$C$10,0,IF(AND($C$38&gt;0,A108&gt;=$C$38,EOMONTH(A108,0)&lt;=$C$39),E108*(1-$C$40)*(1-H$15),E108*(1-H$15)))+M108</f>
        <v>18745.45</v>
      </c>
      <c r="V108" s="150">
        <f>IF(C108&gt;$C$10,0,IF(AND($C$38&gt;0,A108&gt;=$C$38,EOMONTH(A108,0)&lt;=$C$39),E108*(1-$C$40)*(1-I$15),E108*(1-I$15)))+M108</f>
        <v>17684.55</v>
      </c>
      <c r="W108" s="181">
        <f>IF(C108&gt;$C$10,0,IF(AND($C$38&gt;0,A108&gt;=$C$38,EOMONTH(A108,0)&lt;=$C$39),E108*(1-$C$40)*(1-F$34),E108*(1-F$34)))+M108</f>
        <v>20867.25</v>
      </c>
      <c r="X108" s="179">
        <f>IF(C108&gt;$C$10,0,IF(AND($C$38&gt;0,A108&gt;=$C$38,EOMONTH(A108,0)&lt;=$C$39),E108*(1-$C$40)*(1-G$34),E108*(1-G$34)))+M108</f>
        <v>18745.45</v>
      </c>
      <c r="Y108" s="178">
        <f>IF(C108&gt;$C$10,0,IF(AND($C$38&gt;0,A108&gt;=$C$38,EOMONTH(A108,0)&lt;=$C$39),E108*(1-$C$40)*(1-H$34),E108*(1-H$34)))+M108</f>
        <v>17684.55</v>
      </c>
      <c r="Z108" s="179">
        <f>IF(C108&gt;$C$10,0,IF(AND($C$38&gt;0,A108&gt;=$C$38,EOMONTH(A108,0)&lt;=$C$39),E108*(1-$C$40)*(1-I$34),E108*(1-I$34)))+M108</f>
        <v>16623.650000000001</v>
      </c>
      <c r="AA108" s="180">
        <f>IF(C108&gt;$C$10,0,IF(AND($C$38&gt;0,A108&gt;=$C$38,EOMONTH(A108,0)&lt;=$C$39),E108*(1-$C$40)*(1-J$34),E108*(1-J$34)))+M108</f>
        <v>15562.75</v>
      </c>
    </row>
    <row r="109" spans="1:27" x14ac:dyDescent="0.25">
      <c r="A109" s="98">
        <f>EDATE($C$8,34)</f>
        <v>44386</v>
      </c>
      <c r="B109" s="99">
        <f>EDATE($C$8,35)-1</f>
        <v>44416</v>
      </c>
      <c r="C109" s="92">
        <f t="shared" si="10"/>
        <v>35</v>
      </c>
      <c r="D109" s="100">
        <f t="shared" si="13"/>
        <v>3</v>
      </c>
      <c r="E109" s="101">
        <f t="shared" si="14"/>
        <v>10609</v>
      </c>
      <c r="F109" s="94">
        <f t="shared" si="11"/>
        <v>10609</v>
      </c>
      <c r="G109" s="95">
        <f t="shared" si="12"/>
        <v>0</v>
      </c>
      <c r="H109" s="94">
        <f t="shared" si="15"/>
        <v>3978.375</v>
      </c>
      <c r="I109" s="94">
        <f t="shared" si="16"/>
        <v>1989.1875</v>
      </c>
      <c r="J109" s="94">
        <f t="shared" si="17"/>
        <v>3315.3125</v>
      </c>
      <c r="K109" s="94">
        <f t="shared" si="18"/>
        <v>650.25</v>
      </c>
      <c r="L109" s="94">
        <f t="shared" si="19"/>
        <v>325.125</v>
      </c>
      <c r="M109" s="94">
        <f t="shared" si="7"/>
        <v>10258.25</v>
      </c>
      <c r="N109" s="101">
        <f t="shared" si="20"/>
        <v>20867.25</v>
      </c>
      <c r="O109" s="102">
        <f t="shared" si="9"/>
        <v>1.3911500000000001</v>
      </c>
      <c r="P109" s="101">
        <f>MAX(SUM(N109:N198)+S109,0)</f>
        <v>2040750.9457094143</v>
      </c>
      <c r="Q109" s="101">
        <f>SUM(F109:F198)</f>
        <v>1039414.6811699277</v>
      </c>
      <c r="R109" s="101">
        <f>SUM(M109:M198)</f>
        <v>1001336.2645394823</v>
      </c>
      <c r="S109" s="103">
        <f>SUMPRODUCT(($C$55:$C$67)*($D$55:$D$67&gt;=$A109))</f>
        <v>0</v>
      </c>
      <c r="T109" s="150">
        <f>IF(C109&gt;$C$10,0,IF(AND($C$38&gt;0,A109&gt;=$C$38,EOMONTH(A109,0)&lt;=$C$39),E109*(1-$C$40)*(1-G$15),E109*(1-G$15)))+M109</f>
        <v>19806.349999999999</v>
      </c>
      <c r="U109" s="150">
        <f>IF(C109&gt;$C$10,0,IF(AND($C$38&gt;0,A109&gt;=$C$38,EOMONTH(A109,0)&lt;=$C$39),E109*(1-$C$40)*(1-H$15),E109*(1-H$15)))+M109</f>
        <v>18745.45</v>
      </c>
      <c r="V109" s="150">
        <f>IF(C109&gt;$C$10,0,IF(AND($C$38&gt;0,A109&gt;=$C$38,EOMONTH(A109,0)&lt;=$C$39),E109*(1-$C$40)*(1-I$15),E109*(1-I$15)))+M109</f>
        <v>17684.55</v>
      </c>
      <c r="W109" s="181">
        <f>IF(C109&gt;$C$10,0,IF(AND($C$38&gt;0,A109&gt;=$C$38,EOMONTH(A109,0)&lt;=$C$39),E109*(1-$C$40)*(1-F$34),E109*(1-F$34)))+M109</f>
        <v>20867.25</v>
      </c>
      <c r="X109" s="179">
        <f>IF(C109&gt;$C$10,0,IF(AND($C$38&gt;0,A109&gt;=$C$38,EOMONTH(A109,0)&lt;=$C$39),E109*(1-$C$40)*(1-G$34),E109*(1-G$34)))+M109</f>
        <v>18745.45</v>
      </c>
      <c r="Y109" s="178">
        <f>IF(C109&gt;$C$10,0,IF(AND($C$38&gt;0,A109&gt;=$C$38,EOMONTH(A109,0)&lt;=$C$39),E109*(1-$C$40)*(1-H$34),E109*(1-H$34)))+M109</f>
        <v>17684.55</v>
      </c>
      <c r="Z109" s="179">
        <f>IF(C109&gt;$C$10,0,IF(AND($C$38&gt;0,A109&gt;=$C$38,EOMONTH(A109,0)&lt;=$C$39),E109*(1-$C$40)*(1-I$34),E109*(1-I$34)))+M109</f>
        <v>16623.650000000001</v>
      </c>
      <c r="AA109" s="180">
        <f>IF(C109&gt;$C$10,0,IF(AND($C$38&gt;0,A109&gt;=$C$38,EOMONTH(A109,0)&lt;=$C$39),E109*(1-$C$40)*(1-J$34),E109*(1-J$34)))+M109</f>
        <v>15562.75</v>
      </c>
    </row>
    <row r="110" spans="1:27" x14ac:dyDescent="0.25">
      <c r="A110" s="104">
        <f>EDATE($C$8,35)</f>
        <v>44417</v>
      </c>
      <c r="B110" s="105">
        <f>EDATE($C$8,36)-1</f>
        <v>44447</v>
      </c>
      <c r="C110" s="92">
        <f t="shared" si="10"/>
        <v>36</v>
      </c>
      <c r="D110" s="106">
        <f t="shared" si="13"/>
        <v>3</v>
      </c>
      <c r="E110" s="107">
        <f t="shared" si="14"/>
        <v>10609</v>
      </c>
      <c r="F110" s="94">
        <f t="shared" si="11"/>
        <v>10609</v>
      </c>
      <c r="G110" s="95">
        <f t="shared" si="12"/>
        <v>0</v>
      </c>
      <c r="H110" s="94">
        <f t="shared" si="15"/>
        <v>3978.375</v>
      </c>
      <c r="I110" s="94">
        <f t="shared" si="16"/>
        <v>1989.1875</v>
      </c>
      <c r="J110" s="94">
        <f t="shared" si="17"/>
        <v>3315.3125</v>
      </c>
      <c r="K110" s="94">
        <f t="shared" si="18"/>
        <v>650.25</v>
      </c>
      <c r="L110" s="94">
        <f t="shared" si="19"/>
        <v>325.125</v>
      </c>
      <c r="M110" s="94">
        <f t="shared" si="7"/>
        <v>10258.25</v>
      </c>
      <c r="N110" s="107">
        <f t="shared" si="20"/>
        <v>20867.25</v>
      </c>
      <c r="O110" s="108">
        <f t="shared" si="9"/>
        <v>1.3911500000000001</v>
      </c>
      <c r="P110" s="107">
        <f>MAX(SUM(N110:N198)+S110,0)</f>
        <v>2019883.6957094143</v>
      </c>
      <c r="Q110" s="107">
        <f>SUM(F110:F198)</f>
        <v>1028805.6811699277</v>
      </c>
      <c r="R110" s="107">
        <f>SUM(M110:M198)</f>
        <v>991078.01453948242</v>
      </c>
      <c r="S110" s="109">
        <f>SUMPRODUCT(($C$55:$C$67)*($D$55:$D$67&gt;=$A110))</f>
        <v>0</v>
      </c>
      <c r="T110" s="150">
        <f>IF(C110&gt;$C$10,0,IF(AND($C$38&gt;0,A110&gt;=$C$38,EOMONTH(A110,0)&lt;=$C$39),E110*(1-$C$40)*(1-G$15),E110*(1-G$15)))+M110</f>
        <v>19806.349999999999</v>
      </c>
      <c r="U110" s="150">
        <f>IF(C110&gt;$C$10,0,IF(AND($C$38&gt;0,A110&gt;=$C$38,EOMONTH(A110,0)&lt;=$C$39),E110*(1-$C$40)*(1-H$15),E110*(1-H$15)))+M110</f>
        <v>18745.45</v>
      </c>
      <c r="V110" s="150">
        <f>IF(C110&gt;$C$10,0,IF(AND($C$38&gt;0,A110&gt;=$C$38,EOMONTH(A110,0)&lt;=$C$39),E110*(1-$C$40)*(1-I$15),E110*(1-I$15)))+M110</f>
        <v>17684.55</v>
      </c>
      <c r="W110" s="181">
        <f>IF(C110&gt;$C$10,0,IF(AND($C$38&gt;0,A110&gt;=$C$38,EOMONTH(A110,0)&lt;=$C$39),E110*(1-$C$40)*(1-F$34),E110*(1-F$34)))+M110</f>
        <v>20867.25</v>
      </c>
      <c r="X110" s="179">
        <f>IF(C110&gt;$C$10,0,IF(AND($C$38&gt;0,A110&gt;=$C$38,EOMONTH(A110,0)&lt;=$C$39),E110*(1-$C$40)*(1-G$34),E110*(1-G$34)))+M110</f>
        <v>18745.45</v>
      </c>
      <c r="Y110" s="178">
        <f>IF(C110&gt;$C$10,0,IF(AND($C$38&gt;0,A110&gt;=$C$38,EOMONTH(A110,0)&lt;=$C$39),E110*(1-$C$40)*(1-H$34),E110*(1-H$34)))+M110</f>
        <v>17684.55</v>
      </c>
      <c r="Z110" s="179">
        <f>IF(C110&gt;$C$10,0,IF(AND($C$38&gt;0,A110&gt;=$C$38,EOMONTH(A110,0)&lt;=$C$39),E110*(1-$C$40)*(1-I$34),E110*(1-I$34)))+M110</f>
        <v>16623.650000000001</v>
      </c>
      <c r="AA110" s="180">
        <f>IF(C110&gt;$C$10,0,IF(AND($C$38&gt;0,A110&gt;=$C$38,EOMONTH(A110,0)&lt;=$C$39),E110*(1-$C$40)*(1-J$34),E110*(1-J$34)))+M110</f>
        <v>15562.75</v>
      </c>
    </row>
    <row r="111" spans="1:27" x14ac:dyDescent="0.25">
      <c r="A111" s="98">
        <f>EDATE($C$8,36)</f>
        <v>44448</v>
      </c>
      <c r="B111" s="99">
        <f>EDATE($C$8,37)-1</f>
        <v>44477</v>
      </c>
      <c r="C111" s="92">
        <f t="shared" si="10"/>
        <v>37</v>
      </c>
      <c r="D111" s="100">
        <f t="shared" si="13"/>
        <v>4</v>
      </c>
      <c r="E111" s="101">
        <f t="shared" si="14"/>
        <v>10927.27</v>
      </c>
      <c r="F111" s="94">
        <f t="shared" si="11"/>
        <v>10927.27</v>
      </c>
      <c r="G111" s="95">
        <f t="shared" si="12"/>
        <v>0</v>
      </c>
      <c r="H111" s="94">
        <f t="shared" si="15"/>
        <v>4097.7262499999997</v>
      </c>
      <c r="I111" s="94">
        <f t="shared" si="16"/>
        <v>2048.8631249999999</v>
      </c>
      <c r="J111" s="94">
        <f t="shared" si="17"/>
        <v>3414.7718749999999</v>
      </c>
      <c r="K111" s="94">
        <f t="shared" si="18"/>
        <v>663.255</v>
      </c>
      <c r="L111" s="94">
        <f t="shared" si="19"/>
        <v>331.6275</v>
      </c>
      <c r="M111" s="94">
        <f t="shared" si="7"/>
        <v>10556.24375</v>
      </c>
      <c r="N111" s="101">
        <f t="shared" si="20"/>
        <v>21483.513749999998</v>
      </c>
      <c r="O111" s="102">
        <f t="shared" si="9"/>
        <v>1.4322342499999998</v>
      </c>
      <c r="P111" s="101">
        <f>MAX(SUM(N111:N198)+S111,0)</f>
        <v>1999016.4457094141</v>
      </c>
      <c r="Q111" s="101">
        <f>SUM(F111:F198)</f>
        <v>1018196.6811699277</v>
      </c>
      <c r="R111" s="101">
        <f>SUM(M111:M198)</f>
        <v>980819.76453948242</v>
      </c>
      <c r="S111" s="103">
        <f>SUMPRODUCT(($C$55:$C$67)*($D$55:$D$67&gt;=$A111))</f>
        <v>0</v>
      </c>
      <c r="T111" s="150">
        <f>IF(C111&gt;$C$10,0,IF(AND($C$38&gt;0,A111&gt;=$C$38,EOMONTH(A111,0)&lt;=$C$39),E111*(1-$C$40)*(1-G$15),E111*(1-G$15)))+M111</f>
        <v>20390.786749999999</v>
      </c>
      <c r="U111" s="150">
        <f>IF(C111&gt;$C$10,0,IF(AND($C$38&gt;0,A111&gt;=$C$38,EOMONTH(A111,0)&lt;=$C$39),E111*(1-$C$40)*(1-H$15),E111*(1-H$15)))+M111</f>
        <v>19298.05975</v>
      </c>
      <c r="V111" s="150">
        <f>IF(C111&gt;$C$10,0,IF(AND($C$38&gt;0,A111&gt;=$C$38,EOMONTH(A111,0)&lt;=$C$39),E111*(1-$C$40)*(1-I$15),E111*(1-I$15)))+M111</f>
        <v>18205.332750000001</v>
      </c>
      <c r="W111" s="181">
        <f>IF(C111&gt;$C$10,0,IF(AND($C$38&gt;0,A111&gt;=$C$38,EOMONTH(A111,0)&lt;=$C$39),E111*(1-$C$40)*(1-F$34),E111*(1-F$34)))+M111</f>
        <v>21483.513749999998</v>
      </c>
      <c r="X111" s="179">
        <f>IF(C111&gt;$C$10,0,IF(AND($C$38&gt;0,A111&gt;=$C$38,EOMONTH(A111,0)&lt;=$C$39),E111*(1-$C$40)*(1-G$34),E111*(1-G$34)))+M111</f>
        <v>19298.05975</v>
      </c>
      <c r="Y111" s="178">
        <f>IF(C111&gt;$C$10,0,IF(AND($C$38&gt;0,A111&gt;=$C$38,EOMONTH(A111,0)&lt;=$C$39),E111*(1-$C$40)*(1-H$34),E111*(1-H$34)))+M111</f>
        <v>18205.332750000001</v>
      </c>
      <c r="Z111" s="179">
        <f>IF(C111&gt;$C$10,0,IF(AND($C$38&gt;0,A111&gt;=$C$38,EOMONTH(A111,0)&lt;=$C$39),E111*(1-$C$40)*(1-I$34),E111*(1-I$34)))+M111</f>
        <v>17112.605749999999</v>
      </c>
      <c r="AA111" s="180">
        <f>IF(C111&gt;$C$10,0,IF(AND($C$38&gt;0,A111&gt;=$C$38,EOMONTH(A111,0)&lt;=$C$39),E111*(1-$C$40)*(1-J$34),E111*(1-J$34)))+M111</f>
        <v>16019.87875</v>
      </c>
    </row>
    <row r="112" spans="1:27" x14ac:dyDescent="0.25">
      <c r="A112" s="104">
        <f>EDATE($C$8,37)</f>
        <v>44478</v>
      </c>
      <c r="B112" s="105">
        <f>EDATE($C$8,38)-1</f>
        <v>44508</v>
      </c>
      <c r="C112" s="92">
        <f t="shared" si="10"/>
        <v>38</v>
      </c>
      <c r="D112" s="106">
        <f t="shared" si="13"/>
        <v>4</v>
      </c>
      <c r="E112" s="107">
        <f t="shared" si="14"/>
        <v>10927.27</v>
      </c>
      <c r="F112" s="94">
        <f t="shared" si="11"/>
        <v>10927.27</v>
      </c>
      <c r="G112" s="95">
        <f t="shared" si="12"/>
        <v>0</v>
      </c>
      <c r="H112" s="94">
        <f t="shared" si="15"/>
        <v>4097.7262499999997</v>
      </c>
      <c r="I112" s="94">
        <f t="shared" si="16"/>
        <v>2048.8631249999999</v>
      </c>
      <c r="J112" s="94">
        <f t="shared" si="17"/>
        <v>3414.7718749999999</v>
      </c>
      <c r="K112" s="94">
        <f t="shared" si="18"/>
        <v>663.255</v>
      </c>
      <c r="L112" s="94">
        <f t="shared" si="19"/>
        <v>331.6275</v>
      </c>
      <c r="M112" s="94">
        <f t="shared" si="7"/>
        <v>10556.24375</v>
      </c>
      <c r="N112" s="107">
        <f t="shared" si="20"/>
        <v>21483.513749999998</v>
      </c>
      <c r="O112" s="108">
        <f t="shared" si="9"/>
        <v>1.4322342499999998</v>
      </c>
      <c r="P112" s="107">
        <f>MAX(SUM(N112:N198)+S112,0)</f>
        <v>1977532.9319594139</v>
      </c>
      <c r="Q112" s="107">
        <f>SUM(F112:F198)</f>
        <v>1007269.4111699277</v>
      </c>
      <c r="R112" s="107">
        <f>SUM(M112:M198)</f>
        <v>970263.52078948251</v>
      </c>
      <c r="S112" s="109">
        <f>SUMPRODUCT(($C$55:$C$67)*($D$55:$D$67&gt;=$A112))</f>
        <v>0</v>
      </c>
      <c r="T112" s="150">
        <f>IF(C112&gt;$C$10,0,IF(AND($C$38&gt;0,A112&gt;=$C$38,EOMONTH(A112,0)&lt;=$C$39),E112*(1-$C$40)*(1-G$15),E112*(1-G$15)))+M112</f>
        <v>20390.786749999999</v>
      </c>
      <c r="U112" s="150">
        <f>IF(C112&gt;$C$10,0,IF(AND($C$38&gt;0,A112&gt;=$C$38,EOMONTH(A112,0)&lt;=$C$39),E112*(1-$C$40)*(1-H$15),E112*(1-H$15)))+M112</f>
        <v>19298.05975</v>
      </c>
      <c r="V112" s="150">
        <f>IF(C112&gt;$C$10,0,IF(AND($C$38&gt;0,A112&gt;=$C$38,EOMONTH(A112,0)&lt;=$C$39),E112*(1-$C$40)*(1-I$15),E112*(1-I$15)))+M112</f>
        <v>18205.332750000001</v>
      </c>
      <c r="W112" s="181">
        <f>IF(C112&gt;$C$10,0,IF(AND($C$38&gt;0,A112&gt;=$C$38,EOMONTH(A112,0)&lt;=$C$39),E112*(1-$C$40)*(1-F$34),E112*(1-F$34)))+M112</f>
        <v>21483.513749999998</v>
      </c>
      <c r="X112" s="179">
        <f>IF(C112&gt;$C$10,0,IF(AND($C$38&gt;0,A112&gt;=$C$38,EOMONTH(A112,0)&lt;=$C$39),E112*(1-$C$40)*(1-G$34),E112*(1-G$34)))+M112</f>
        <v>19298.05975</v>
      </c>
      <c r="Y112" s="178">
        <f>IF(C112&gt;$C$10,0,IF(AND($C$38&gt;0,A112&gt;=$C$38,EOMONTH(A112,0)&lt;=$C$39),E112*(1-$C$40)*(1-H$34),E112*(1-H$34)))+M112</f>
        <v>18205.332750000001</v>
      </c>
      <c r="Z112" s="179">
        <f>IF(C112&gt;$C$10,0,IF(AND($C$38&gt;0,A112&gt;=$C$38,EOMONTH(A112,0)&lt;=$C$39),E112*(1-$C$40)*(1-I$34),E112*(1-I$34)))+M112</f>
        <v>17112.605749999999</v>
      </c>
      <c r="AA112" s="180">
        <f>IF(C112&gt;$C$10,0,IF(AND($C$38&gt;0,A112&gt;=$C$38,EOMONTH(A112,0)&lt;=$C$39),E112*(1-$C$40)*(1-J$34),E112*(1-J$34)))+M112</f>
        <v>16019.87875</v>
      </c>
    </row>
    <row r="113" spans="1:27" x14ac:dyDescent="0.25">
      <c r="A113" s="98">
        <f>EDATE($C$8,38)</f>
        <v>44509</v>
      </c>
      <c r="B113" s="99">
        <f>EDATE($C$8,39)-1</f>
        <v>44538</v>
      </c>
      <c r="C113" s="92">
        <f t="shared" si="10"/>
        <v>39</v>
      </c>
      <c r="D113" s="100">
        <f t="shared" si="13"/>
        <v>4</v>
      </c>
      <c r="E113" s="101">
        <f t="shared" si="14"/>
        <v>10927.27</v>
      </c>
      <c r="F113" s="94">
        <f t="shared" si="11"/>
        <v>10927.27</v>
      </c>
      <c r="G113" s="95">
        <f t="shared" si="12"/>
        <v>0</v>
      </c>
      <c r="H113" s="94">
        <f t="shared" si="15"/>
        <v>4097.7262499999997</v>
      </c>
      <c r="I113" s="94">
        <f t="shared" si="16"/>
        <v>2048.8631249999999</v>
      </c>
      <c r="J113" s="94">
        <f t="shared" si="17"/>
        <v>3414.7718749999999</v>
      </c>
      <c r="K113" s="94">
        <f t="shared" si="18"/>
        <v>663.255</v>
      </c>
      <c r="L113" s="94">
        <f t="shared" si="19"/>
        <v>331.6275</v>
      </c>
      <c r="M113" s="94">
        <f t="shared" si="7"/>
        <v>10556.24375</v>
      </c>
      <c r="N113" s="101">
        <f t="shared" si="20"/>
        <v>21483.513749999998</v>
      </c>
      <c r="O113" s="102">
        <f t="shared" si="9"/>
        <v>1.4322342499999998</v>
      </c>
      <c r="P113" s="101">
        <f>MAX(SUM(N113:N198)+S113,0)</f>
        <v>1956049.418209414</v>
      </c>
      <c r="Q113" s="101">
        <f>SUM(F113:F198)</f>
        <v>996342.14116992767</v>
      </c>
      <c r="R113" s="101">
        <f>SUM(M113:M198)</f>
        <v>959707.27703948261</v>
      </c>
      <c r="S113" s="103">
        <f>SUMPRODUCT(($C$55:$C$67)*($D$55:$D$67&gt;=$A113))</f>
        <v>0</v>
      </c>
      <c r="T113" s="150">
        <f>IF(C113&gt;$C$10,0,IF(AND($C$38&gt;0,A113&gt;=$C$38,EOMONTH(A113,0)&lt;=$C$39),E113*(1-$C$40)*(1-G$15),E113*(1-G$15)))+M113</f>
        <v>20390.786749999999</v>
      </c>
      <c r="U113" s="150">
        <f>IF(C113&gt;$C$10,0,IF(AND($C$38&gt;0,A113&gt;=$C$38,EOMONTH(A113,0)&lt;=$C$39),E113*(1-$C$40)*(1-H$15),E113*(1-H$15)))+M113</f>
        <v>19298.05975</v>
      </c>
      <c r="V113" s="150">
        <f>IF(C113&gt;$C$10,0,IF(AND($C$38&gt;0,A113&gt;=$C$38,EOMONTH(A113,0)&lt;=$C$39),E113*(1-$C$40)*(1-I$15),E113*(1-I$15)))+M113</f>
        <v>18205.332750000001</v>
      </c>
      <c r="W113" s="181">
        <f>IF(C113&gt;$C$10,0,IF(AND($C$38&gt;0,A113&gt;=$C$38,EOMONTH(A113,0)&lt;=$C$39),E113*(1-$C$40)*(1-F$34),E113*(1-F$34)))+M113</f>
        <v>21483.513749999998</v>
      </c>
      <c r="X113" s="179">
        <f>IF(C113&gt;$C$10,0,IF(AND($C$38&gt;0,A113&gt;=$C$38,EOMONTH(A113,0)&lt;=$C$39),E113*(1-$C$40)*(1-G$34),E113*(1-G$34)))+M113</f>
        <v>19298.05975</v>
      </c>
      <c r="Y113" s="178">
        <f>IF(C113&gt;$C$10,0,IF(AND($C$38&gt;0,A113&gt;=$C$38,EOMONTH(A113,0)&lt;=$C$39),E113*(1-$C$40)*(1-H$34),E113*(1-H$34)))+M113</f>
        <v>18205.332750000001</v>
      </c>
      <c r="Z113" s="179">
        <f>IF(C113&gt;$C$10,0,IF(AND($C$38&gt;0,A113&gt;=$C$38,EOMONTH(A113,0)&lt;=$C$39),E113*(1-$C$40)*(1-I$34),E113*(1-I$34)))+M113</f>
        <v>17112.605749999999</v>
      </c>
      <c r="AA113" s="180">
        <f>IF(C113&gt;$C$10,0,IF(AND($C$38&gt;0,A113&gt;=$C$38,EOMONTH(A113,0)&lt;=$C$39),E113*(1-$C$40)*(1-J$34),E113*(1-J$34)))+M113</f>
        <v>16019.87875</v>
      </c>
    </row>
    <row r="114" spans="1:27" x14ac:dyDescent="0.25">
      <c r="A114" s="104">
        <f>EDATE($C$8,39)</f>
        <v>44539</v>
      </c>
      <c r="B114" s="105">
        <f>EDATE($C$8,40)-1</f>
        <v>44569</v>
      </c>
      <c r="C114" s="92">
        <f t="shared" si="10"/>
        <v>40</v>
      </c>
      <c r="D114" s="106">
        <f t="shared" si="13"/>
        <v>4</v>
      </c>
      <c r="E114" s="107">
        <f t="shared" si="14"/>
        <v>10927.27</v>
      </c>
      <c r="F114" s="94">
        <f t="shared" si="11"/>
        <v>10927.27</v>
      </c>
      <c r="G114" s="95">
        <f t="shared" si="12"/>
        <v>0</v>
      </c>
      <c r="H114" s="94">
        <f t="shared" si="15"/>
        <v>4097.7262499999997</v>
      </c>
      <c r="I114" s="94">
        <f t="shared" si="16"/>
        <v>2048.8631249999999</v>
      </c>
      <c r="J114" s="94">
        <f t="shared" si="17"/>
        <v>3414.7718749999999</v>
      </c>
      <c r="K114" s="94">
        <f t="shared" si="18"/>
        <v>663.255</v>
      </c>
      <c r="L114" s="94">
        <f t="shared" si="19"/>
        <v>331.6275</v>
      </c>
      <c r="M114" s="94">
        <f t="shared" si="7"/>
        <v>10556.24375</v>
      </c>
      <c r="N114" s="107">
        <f t="shared" si="20"/>
        <v>21483.513749999998</v>
      </c>
      <c r="O114" s="108">
        <f t="shared" si="9"/>
        <v>1.4322342499999998</v>
      </c>
      <c r="P114" s="107">
        <f>MAX(SUM(N114:N198)+S114,0)</f>
        <v>1934565.9044594138</v>
      </c>
      <c r="Q114" s="107">
        <f>SUM(F114:F198)</f>
        <v>985414.87116992776</v>
      </c>
      <c r="R114" s="107">
        <f>SUM(M114:M198)</f>
        <v>949151.03328948258</v>
      </c>
      <c r="S114" s="109">
        <f>SUMPRODUCT(($C$55:$C$67)*($D$55:$D$67&gt;=$A114))</f>
        <v>0</v>
      </c>
      <c r="T114" s="150">
        <f>IF(C114&gt;$C$10,0,IF(AND($C$38&gt;0,A114&gt;=$C$38,EOMONTH(A114,0)&lt;=$C$39),E114*(1-$C$40)*(1-G$15),E114*(1-G$15)))+M114</f>
        <v>20390.786749999999</v>
      </c>
      <c r="U114" s="150">
        <f>IF(C114&gt;$C$10,0,IF(AND($C$38&gt;0,A114&gt;=$C$38,EOMONTH(A114,0)&lt;=$C$39),E114*(1-$C$40)*(1-H$15),E114*(1-H$15)))+M114</f>
        <v>19298.05975</v>
      </c>
      <c r="V114" s="150">
        <f>IF(C114&gt;$C$10,0,IF(AND($C$38&gt;0,A114&gt;=$C$38,EOMONTH(A114,0)&lt;=$C$39),E114*(1-$C$40)*(1-I$15),E114*(1-I$15)))+M114</f>
        <v>18205.332750000001</v>
      </c>
      <c r="W114" s="181">
        <f>IF(C114&gt;$C$10,0,IF(AND($C$38&gt;0,A114&gt;=$C$38,EOMONTH(A114,0)&lt;=$C$39),E114*(1-$C$40)*(1-F$34),E114*(1-F$34)))+M114</f>
        <v>21483.513749999998</v>
      </c>
      <c r="X114" s="179">
        <f>IF(C114&gt;$C$10,0,IF(AND($C$38&gt;0,A114&gt;=$C$38,EOMONTH(A114,0)&lt;=$C$39),E114*(1-$C$40)*(1-G$34),E114*(1-G$34)))+M114</f>
        <v>19298.05975</v>
      </c>
      <c r="Y114" s="178">
        <f>IF(C114&gt;$C$10,0,IF(AND($C$38&gt;0,A114&gt;=$C$38,EOMONTH(A114,0)&lt;=$C$39),E114*(1-$C$40)*(1-H$34),E114*(1-H$34)))+M114</f>
        <v>18205.332750000001</v>
      </c>
      <c r="Z114" s="179">
        <f>IF(C114&gt;$C$10,0,IF(AND($C$38&gt;0,A114&gt;=$C$38,EOMONTH(A114,0)&lt;=$C$39),E114*(1-$C$40)*(1-I$34),E114*(1-I$34)))+M114</f>
        <v>17112.605749999999</v>
      </c>
      <c r="AA114" s="180">
        <f>IF(C114&gt;$C$10,0,IF(AND($C$38&gt;0,A114&gt;=$C$38,EOMONTH(A114,0)&lt;=$C$39),E114*(1-$C$40)*(1-J$34),E114*(1-J$34)))+M114</f>
        <v>16019.87875</v>
      </c>
    </row>
    <row r="115" spans="1:27" x14ac:dyDescent="0.25">
      <c r="A115" s="98">
        <f>EDATE($C$8,40)</f>
        <v>44570</v>
      </c>
      <c r="B115" s="99">
        <f>EDATE($C$8,41)-1</f>
        <v>44600</v>
      </c>
      <c r="C115" s="92">
        <f t="shared" si="10"/>
        <v>41</v>
      </c>
      <c r="D115" s="100">
        <f t="shared" si="13"/>
        <v>4</v>
      </c>
      <c r="E115" s="101">
        <f t="shared" si="14"/>
        <v>10927.27</v>
      </c>
      <c r="F115" s="94">
        <f t="shared" si="11"/>
        <v>10927.27</v>
      </c>
      <c r="G115" s="95">
        <f t="shared" si="12"/>
        <v>0</v>
      </c>
      <c r="H115" s="94">
        <f t="shared" si="15"/>
        <v>4097.7262499999997</v>
      </c>
      <c r="I115" s="94">
        <f t="shared" si="16"/>
        <v>2048.8631249999999</v>
      </c>
      <c r="J115" s="94">
        <f t="shared" si="17"/>
        <v>3414.7718749999999</v>
      </c>
      <c r="K115" s="94">
        <f t="shared" si="18"/>
        <v>663.255</v>
      </c>
      <c r="L115" s="94">
        <f t="shared" si="19"/>
        <v>331.6275</v>
      </c>
      <c r="M115" s="94">
        <f t="shared" si="7"/>
        <v>10556.24375</v>
      </c>
      <c r="N115" s="101">
        <f t="shared" si="20"/>
        <v>21483.513749999998</v>
      </c>
      <c r="O115" s="102">
        <f t="shared" si="9"/>
        <v>1.4322342499999998</v>
      </c>
      <c r="P115" s="101">
        <f>MAX(SUM(N115:N198)+S115,0)</f>
        <v>1913082.3907094139</v>
      </c>
      <c r="Q115" s="101">
        <f>SUM(F115:F198)</f>
        <v>974487.60116992786</v>
      </c>
      <c r="R115" s="101">
        <f>SUM(M115:M198)</f>
        <v>938594.78953948268</v>
      </c>
      <c r="S115" s="103">
        <f>SUMPRODUCT(($C$55:$C$67)*($D$55:$D$67&gt;=$A115))</f>
        <v>0</v>
      </c>
      <c r="T115" s="150">
        <f>IF(C115&gt;$C$10,0,IF(AND($C$38&gt;0,A115&gt;=$C$38,EOMONTH(A115,0)&lt;=$C$39),E115*(1-$C$40)*(1-G$15),E115*(1-G$15)))+M115</f>
        <v>20390.786749999999</v>
      </c>
      <c r="U115" s="150">
        <f>IF(C115&gt;$C$10,0,IF(AND($C$38&gt;0,A115&gt;=$C$38,EOMONTH(A115,0)&lt;=$C$39),E115*(1-$C$40)*(1-H$15),E115*(1-H$15)))+M115</f>
        <v>19298.05975</v>
      </c>
      <c r="V115" s="150">
        <f>IF(C115&gt;$C$10,0,IF(AND($C$38&gt;0,A115&gt;=$C$38,EOMONTH(A115,0)&lt;=$C$39),E115*(1-$C$40)*(1-I$15),E115*(1-I$15)))+M115</f>
        <v>18205.332750000001</v>
      </c>
      <c r="W115" s="181">
        <f>IF(C115&gt;$C$10,0,IF(AND($C$38&gt;0,A115&gt;=$C$38,EOMONTH(A115,0)&lt;=$C$39),E115*(1-$C$40)*(1-F$34),E115*(1-F$34)))+M115</f>
        <v>21483.513749999998</v>
      </c>
      <c r="X115" s="179">
        <f>IF(C115&gt;$C$10,0,IF(AND($C$38&gt;0,A115&gt;=$C$38,EOMONTH(A115,0)&lt;=$C$39),E115*(1-$C$40)*(1-G$34),E115*(1-G$34)))+M115</f>
        <v>19298.05975</v>
      </c>
      <c r="Y115" s="178">
        <f>IF(C115&gt;$C$10,0,IF(AND($C$38&gt;0,A115&gt;=$C$38,EOMONTH(A115,0)&lt;=$C$39),E115*(1-$C$40)*(1-H$34),E115*(1-H$34)))+M115</f>
        <v>18205.332750000001</v>
      </c>
      <c r="Z115" s="179">
        <f>IF(C115&gt;$C$10,0,IF(AND($C$38&gt;0,A115&gt;=$C$38,EOMONTH(A115,0)&lt;=$C$39),E115*(1-$C$40)*(1-I$34),E115*(1-I$34)))+M115</f>
        <v>17112.605749999999</v>
      </c>
      <c r="AA115" s="180">
        <f>IF(C115&gt;$C$10,0,IF(AND($C$38&gt;0,A115&gt;=$C$38,EOMONTH(A115,0)&lt;=$C$39),E115*(1-$C$40)*(1-J$34),E115*(1-J$34)))+M115</f>
        <v>16019.87875</v>
      </c>
    </row>
    <row r="116" spans="1:27" x14ac:dyDescent="0.25">
      <c r="A116" s="104">
        <f>EDATE($C$8,41)</f>
        <v>44601</v>
      </c>
      <c r="B116" s="105">
        <f>EDATE($C$8,42)-1</f>
        <v>44628</v>
      </c>
      <c r="C116" s="92">
        <f t="shared" si="10"/>
        <v>42</v>
      </c>
      <c r="D116" s="106">
        <f t="shared" si="13"/>
        <v>4</v>
      </c>
      <c r="E116" s="107">
        <f t="shared" si="14"/>
        <v>10927.27</v>
      </c>
      <c r="F116" s="94">
        <f t="shared" si="11"/>
        <v>10927.27</v>
      </c>
      <c r="G116" s="95">
        <f t="shared" si="12"/>
        <v>0</v>
      </c>
      <c r="H116" s="94">
        <f t="shared" si="15"/>
        <v>4097.7262499999997</v>
      </c>
      <c r="I116" s="94">
        <f t="shared" si="16"/>
        <v>2048.8631249999999</v>
      </c>
      <c r="J116" s="94">
        <f t="shared" si="17"/>
        <v>3414.7718749999999</v>
      </c>
      <c r="K116" s="94">
        <f t="shared" si="18"/>
        <v>663.255</v>
      </c>
      <c r="L116" s="94">
        <f t="shared" si="19"/>
        <v>331.6275</v>
      </c>
      <c r="M116" s="94">
        <f t="shared" si="7"/>
        <v>10556.24375</v>
      </c>
      <c r="N116" s="107">
        <f t="shared" si="20"/>
        <v>21483.513749999998</v>
      </c>
      <c r="O116" s="108">
        <f t="shared" si="9"/>
        <v>1.4322342499999998</v>
      </c>
      <c r="P116" s="107">
        <f>MAX(SUM(N116:N198)+S116,0)</f>
        <v>1891598.8769594138</v>
      </c>
      <c r="Q116" s="107">
        <f>SUM(F116:F198)</f>
        <v>963560.33116992784</v>
      </c>
      <c r="R116" s="107">
        <f>SUM(M116:M198)</f>
        <v>928038.54578948265</v>
      </c>
      <c r="S116" s="109">
        <f>SUMPRODUCT(($C$55:$C$67)*($D$55:$D$67&gt;=$A116))</f>
        <v>0</v>
      </c>
      <c r="T116" s="150">
        <f>IF(C116&gt;$C$10,0,IF(AND($C$38&gt;0,A116&gt;=$C$38,EOMONTH(A116,0)&lt;=$C$39),E116*(1-$C$40)*(1-G$15),E116*(1-G$15)))+M116</f>
        <v>20390.786749999999</v>
      </c>
      <c r="U116" s="150">
        <f>IF(C116&gt;$C$10,0,IF(AND($C$38&gt;0,A116&gt;=$C$38,EOMONTH(A116,0)&lt;=$C$39),E116*(1-$C$40)*(1-H$15),E116*(1-H$15)))+M116</f>
        <v>19298.05975</v>
      </c>
      <c r="V116" s="150">
        <f>IF(C116&gt;$C$10,0,IF(AND($C$38&gt;0,A116&gt;=$C$38,EOMONTH(A116,0)&lt;=$C$39),E116*(1-$C$40)*(1-I$15),E116*(1-I$15)))+M116</f>
        <v>18205.332750000001</v>
      </c>
      <c r="W116" s="181">
        <f>IF(C116&gt;$C$10,0,IF(AND($C$38&gt;0,A116&gt;=$C$38,EOMONTH(A116,0)&lt;=$C$39),E116*(1-$C$40)*(1-F$34),E116*(1-F$34)))+M116</f>
        <v>21483.513749999998</v>
      </c>
      <c r="X116" s="179">
        <f>IF(C116&gt;$C$10,0,IF(AND($C$38&gt;0,A116&gt;=$C$38,EOMONTH(A116,0)&lt;=$C$39),E116*(1-$C$40)*(1-G$34),E116*(1-G$34)))+M116</f>
        <v>19298.05975</v>
      </c>
      <c r="Y116" s="178">
        <f>IF(C116&gt;$C$10,0,IF(AND($C$38&gt;0,A116&gt;=$C$38,EOMONTH(A116,0)&lt;=$C$39),E116*(1-$C$40)*(1-H$34),E116*(1-H$34)))+M116</f>
        <v>18205.332750000001</v>
      </c>
      <c r="Z116" s="179">
        <f>IF(C116&gt;$C$10,0,IF(AND($C$38&gt;0,A116&gt;=$C$38,EOMONTH(A116,0)&lt;=$C$39),E116*(1-$C$40)*(1-I$34),E116*(1-I$34)))+M116</f>
        <v>17112.605749999999</v>
      </c>
      <c r="AA116" s="180">
        <f>IF(C116&gt;$C$10,0,IF(AND($C$38&gt;0,A116&gt;=$C$38,EOMONTH(A116,0)&lt;=$C$39),E116*(1-$C$40)*(1-J$34),E116*(1-J$34)))+M116</f>
        <v>16019.87875</v>
      </c>
    </row>
    <row r="117" spans="1:27" x14ac:dyDescent="0.25">
      <c r="A117" s="98">
        <f>EDATE($C$8,42)</f>
        <v>44629</v>
      </c>
      <c r="B117" s="99">
        <f>EDATE($C$8,43)-1</f>
        <v>44659</v>
      </c>
      <c r="C117" s="92">
        <f t="shared" si="10"/>
        <v>43</v>
      </c>
      <c r="D117" s="100">
        <f t="shared" si="13"/>
        <v>4</v>
      </c>
      <c r="E117" s="101">
        <f t="shared" si="14"/>
        <v>10927.27</v>
      </c>
      <c r="F117" s="94">
        <f t="shared" si="11"/>
        <v>10927.27</v>
      </c>
      <c r="G117" s="95">
        <f t="shared" si="12"/>
        <v>0</v>
      </c>
      <c r="H117" s="94">
        <f t="shared" si="15"/>
        <v>4097.7262499999997</v>
      </c>
      <c r="I117" s="94">
        <f t="shared" si="16"/>
        <v>2048.8631249999999</v>
      </c>
      <c r="J117" s="94">
        <f t="shared" si="17"/>
        <v>3414.7718749999999</v>
      </c>
      <c r="K117" s="94">
        <f t="shared" si="18"/>
        <v>663.255</v>
      </c>
      <c r="L117" s="94">
        <f t="shared" si="19"/>
        <v>331.6275</v>
      </c>
      <c r="M117" s="94">
        <f t="shared" si="7"/>
        <v>10556.24375</v>
      </c>
      <c r="N117" s="101">
        <f t="shared" si="20"/>
        <v>21483.513749999998</v>
      </c>
      <c r="O117" s="102">
        <f t="shared" si="9"/>
        <v>1.4322342499999998</v>
      </c>
      <c r="P117" s="101">
        <f>MAX(SUM(N117:N198)+S117,0)</f>
        <v>1870115.3632094138</v>
      </c>
      <c r="Q117" s="101">
        <f>SUM(F117:F198)</f>
        <v>952633.06116992794</v>
      </c>
      <c r="R117" s="101">
        <f>SUM(M117:M198)</f>
        <v>917482.30203948275</v>
      </c>
      <c r="S117" s="103">
        <f>SUMPRODUCT(($C$55:$C$67)*($D$55:$D$67&gt;=$A117))</f>
        <v>0</v>
      </c>
      <c r="T117" s="150">
        <f>IF(C117&gt;$C$10,0,IF(AND($C$38&gt;0,A117&gt;=$C$38,EOMONTH(A117,0)&lt;=$C$39),E117*(1-$C$40)*(1-G$15),E117*(1-G$15)))+M117</f>
        <v>20390.786749999999</v>
      </c>
      <c r="U117" s="150">
        <f>IF(C117&gt;$C$10,0,IF(AND($C$38&gt;0,A117&gt;=$C$38,EOMONTH(A117,0)&lt;=$C$39),E117*(1-$C$40)*(1-H$15),E117*(1-H$15)))+M117</f>
        <v>19298.05975</v>
      </c>
      <c r="V117" s="150">
        <f>IF(C117&gt;$C$10,0,IF(AND($C$38&gt;0,A117&gt;=$C$38,EOMONTH(A117,0)&lt;=$C$39),E117*(1-$C$40)*(1-I$15),E117*(1-I$15)))+M117</f>
        <v>18205.332750000001</v>
      </c>
      <c r="W117" s="181">
        <f>IF(C117&gt;$C$10,0,IF(AND($C$38&gt;0,A117&gt;=$C$38,EOMONTH(A117,0)&lt;=$C$39),E117*(1-$C$40)*(1-F$34),E117*(1-F$34)))+M117</f>
        <v>21483.513749999998</v>
      </c>
      <c r="X117" s="179">
        <f>IF(C117&gt;$C$10,0,IF(AND($C$38&gt;0,A117&gt;=$C$38,EOMONTH(A117,0)&lt;=$C$39),E117*(1-$C$40)*(1-G$34),E117*(1-G$34)))+M117</f>
        <v>19298.05975</v>
      </c>
      <c r="Y117" s="178">
        <f>IF(C117&gt;$C$10,0,IF(AND($C$38&gt;0,A117&gt;=$C$38,EOMONTH(A117,0)&lt;=$C$39),E117*(1-$C$40)*(1-H$34),E117*(1-H$34)))+M117</f>
        <v>18205.332750000001</v>
      </c>
      <c r="Z117" s="179">
        <f>IF(C117&gt;$C$10,0,IF(AND($C$38&gt;0,A117&gt;=$C$38,EOMONTH(A117,0)&lt;=$C$39),E117*(1-$C$40)*(1-I$34),E117*(1-I$34)))+M117</f>
        <v>17112.605749999999</v>
      </c>
      <c r="AA117" s="180">
        <f>IF(C117&gt;$C$10,0,IF(AND($C$38&gt;0,A117&gt;=$C$38,EOMONTH(A117,0)&lt;=$C$39),E117*(1-$C$40)*(1-J$34),E117*(1-J$34)))+M117</f>
        <v>16019.87875</v>
      </c>
    </row>
    <row r="118" spans="1:27" x14ac:dyDescent="0.25">
      <c r="A118" s="104">
        <f>EDATE($C$8,43)</f>
        <v>44660</v>
      </c>
      <c r="B118" s="105">
        <f>EDATE($C$8,44)-1</f>
        <v>44689</v>
      </c>
      <c r="C118" s="92">
        <f t="shared" si="10"/>
        <v>44</v>
      </c>
      <c r="D118" s="106">
        <f t="shared" si="13"/>
        <v>4</v>
      </c>
      <c r="E118" s="107">
        <f t="shared" si="14"/>
        <v>10927.27</v>
      </c>
      <c r="F118" s="94">
        <f t="shared" si="11"/>
        <v>10927.27</v>
      </c>
      <c r="G118" s="95">
        <f t="shared" si="12"/>
        <v>0</v>
      </c>
      <c r="H118" s="94">
        <f t="shared" si="15"/>
        <v>4097.7262499999997</v>
      </c>
      <c r="I118" s="94">
        <f t="shared" si="16"/>
        <v>2048.8631249999999</v>
      </c>
      <c r="J118" s="94">
        <f t="shared" si="17"/>
        <v>3414.7718749999999</v>
      </c>
      <c r="K118" s="94">
        <f t="shared" si="18"/>
        <v>663.255</v>
      </c>
      <c r="L118" s="94">
        <f t="shared" si="19"/>
        <v>331.6275</v>
      </c>
      <c r="M118" s="94">
        <f t="shared" si="7"/>
        <v>10556.24375</v>
      </c>
      <c r="N118" s="107">
        <f t="shared" si="20"/>
        <v>21483.513749999998</v>
      </c>
      <c r="O118" s="108">
        <f t="shared" si="9"/>
        <v>1.4322342499999998</v>
      </c>
      <c r="P118" s="107">
        <f>MAX(SUM(N118:N198)+S118,0)</f>
        <v>1848631.8494594139</v>
      </c>
      <c r="Q118" s="107">
        <f>SUM(F118:F198)</f>
        <v>941705.79116992792</v>
      </c>
      <c r="R118" s="107">
        <f>SUM(M118:M198)</f>
        <v>906926.05828948272</v>
      </c>
      <c r="S118" s="109">
        <f>SUMPRODUCT(($C$55:$C$67)*($D$55:$D$67&gt;=$A118))</f>
        <v>0</v>
      </c>
      <c r="T118" s="150">
        <f>IF(C118&gt;$C$10,0,IF(AND($C$38&gt;0,A118&gt;=$C$38,EOMONTH(A118,0)&lt;=$C$39),E118*(1-$C$40)*(1-G$15),E118*(1-G$15)))+M118</f>
        <v>20390.786749999999</v>
      </c>
      <c r="U118" s="150">
        <f>IF(C118&gt;$C$10,0,IF(AND($C$38&gt;0,A118&gt;=$C$38,EOMONTH(A118,0)&lt;=$C$39),E118*(1-$C$40)*(1-H$15),E118*(1-H$15)))+M118</f>
        <v>19298.05975</v>
      </c>
      <c r="V118" s="150">
        <f>IF(C118&gt;$C$10,0,IF(AND($C$38&gt;0,A118&gt;=$C$38,EOMONTH(A118,0)&lt;=$C$39),E118*(1-$C$40)*(1-I$15),E118*(1-I$15)))+M118</f>
        <v>18205.332750000001</v>
      </c>
      <c r="W118" s="181">
        <f>IF(C118&gt;$C$10,0,IF(AND($C$38&gt;0,A118&gt;=$C$38,EOMONTH(A118,0)&lt;=$C$39),E118*(1-$C$40)*(1-F$34),E118*(1-F$34)))+M118</f>
        <v>21483.513749999998</v>
      </c>
      <c r="X118" s="179">
        <f>IF(C118&gt;$C$10,0,IF(AND($C$38&gt;0,A118&gt;=$C$38,EOMONTH(A118,0)&lt;=$C$39),E118*(1-$C$40)*(1-G$34),E118*(1-G$34)))+M118</f>
        <v>19298.05975</v>
      </c>
      <c r="Y118" s="178">
        <f>IF(C118&gt;$C$10,0,IF(AND($C$38&gt;0,A118&gt;=$C$38,EOMONTH(A118,0)&lt;=$C$39),E118*(1-$C$40)*(1-H$34),E118*(1-H$34)))+M118</f>
        <v>18205.332750000001</v>
      </c>
      <c r="Z118" s="179">
        <f>IF(C118&gt;$C$10,0,IF(AND($C$38&gt;0,A118&gt;=$C$38,EOMONTH(A118,0)&lt;=$C$39),E118*(1-$C$40)*(1-I$34),E118*(1-I$34)))+M118</f>
        <v>17112.605749999999</v>
      </c>
      <c r="AA118" s="180">
        <f>IF(C118&gt;$C$10,0,IF(AND($C$38&gt;0,A118&gt;=$C$38,EOMONTH(A118,0)&lt;=$C$39),E118*(1-$C$40)*(1-J$34),E118*(1-J$34)))+M118</f>
        <v>16019.87875</v>
      </c>
    </row>
    <row r="119" spans="1:27" x14ac:dyDescent="0.25">
      <c r="A119" s="98">
        <f>EDATE($C$8,44)</f>
        <v>44690</v>
      </c>
      <c r="B119" s="99">
        <f>EDATE($C$8,45)-1</f>
        <v>44720</v>
      </c>
      <c r="C119" s="92">
        <f t="shared" si="10"/>
        <v>45</v>
      </c>
      <c r="D119" s="100">
        <f t="shared" si="13"/>
        <v>4</v>
      </c>
      <c r="E119" s="101">
        <f t="shared" si="14"/>
        <v>10927.27</v>
      </c>
      <c r="F119" s="94">
        <f t="shared" si="11"/>
        <v>10927.27</v>
      </c>
      <c r="G119" s="95">
        <f t="shared" si="12"/>
        <v>0</v>
      </c>
      <c r="H119" s="94">
        <f t="shared" si="15"/>
        <v>4097.7262499999997</v>
      </c>
      <c r="I119" s="94">
        <f t="shared" si="16"/>
        <v>2048.8631249999999</v>
      </c>
      <c r="J119" s="94">
        <f t="shared" si="17"/>
        <v>3414.7718749999999</v>
      </c>
      <c r="K119" s="94">
        <f t="shared" si="18"/>
        <v>663.255</v>
      </c>
      <c r="L119" s="94">
        <f t="shared" si="19"/>
        <v>331.6275</v>
      </c>
      <c r="M119" s="94">
        <f t="shared" si="7"/>
        <v>10556.24375</v>
      </c>
      <c r="N119" s="101">
        <f t="shared" si="20"/>
        <v>21483.513749999998</v>
      </c>
      <c r="O119" s="102">
        <f t="shared" si="9"/>
        <v>1.4322342499999998</v>
      </c>
      <c r="P119" s="101">
        <f>MAX(SUM(N119:N198)+S119,0)</f>
        <v>1827148.3357094137</v>
      </c>
      <c r="Q119" s="101">
        <f>SUM(F119:F198)</f>
        <v>930778.52116992802</v>
      </c>
      <c r="R119" s="101">
        <f>SUM(M119:M198)</f>
        <v>896369.81453948282</v>
      </c>
      <c r="S119" s="103">
        <f>SUMPRODUCT(($C$55:$C$67)*($D$55:$D$67&gt;=$A119))</f>
        <v>0</v>
      </c>
      <c r="T119" s="150">
        <f>IF(C119&gt;$C$10,0,IF(AND($C$38&gt;0,A119&gt;=$C$38,EOMONTH(A119,0)&lt;=$C$39),E119*(1-$C$40)*(1-G$15),E119*(1-G$15)))+M119</f>
        <v>20390.786749999999</v>
      </c>
      <c r="U119" s="150">
        <f>IF(C119&gt;$C$10,0,IF(AND($C$38&gt;0,A119&gt;=$C$38,EOMONTH(A119,0)&lt;=$C$39),E119*(1-$C$40)*(1-H$15),E119*(1-H$15)))+M119</f>
        <v>19298.05975</v>
      </c>
      <c r="V119" s="150">
        <f>IF(C119&gt;$C$10,0,IF(AND($C$38&gt;0,A119&gt;=$C$38,EOMONTH(A119,0)&lt;=$C$39),E119*(1-$C$40)*(1-I$15),E119*(1-I$15)))+M119</f>
        <v>18205.332750000001</v>
      </c>
      <c r="W119" s="181">
        <f>IF(C119&gt;$C$10,0,IF(AND($C$38&gt;0,A119&gt;=$C$38,EOMONTH(A119,0)&lt;=$C$39),E119*(1-$C$40)*(1-F$34),E119*(1-F$34)))+M119</f>
        <v>21483.513749999998</v>
      </c>
      <c r="X119" s="179">
        <f>IF(C119&gt;$C$10,0,IF(AND($C$38&gt;0,A119&gt;=$C$38,EOMONTH(A119,0)&lt;=$C$39),E119*(1-$C$40)*(1-G$34),E119*(1-G$34)))+M119</f>
        <v>19298.05975</v>
      </c>
      <c r="Y119" s="178">
        <f>IF(C119&gt;$C$10,0,IF(AND($C$38&gt;0,A119&gt;=$C$38,EOMONTH(A119,0)&lt;=$C$39),E119*(1-$C$40)*(1-H$34),E119*(1-H$34)))+M119</f>
        <v>18205.332750000001</v>
      </c>
      <c r="Z119" s="179">
        <f>IF(C119&gt;$C$10,0,IF(AND($C$38&gt;0,A119&gt;=$C$38,EOMONTH(A119,0)&lt;=$C$39),E119*(1-$C$40)*(1-I$34),E119*(1-I$34)))+M119</f>
        <v>17112.605749999999</v>
      </c>
      <c r="AA119" s="180">
        <f>IF(C119&gt;$C$10,0,IF(AND($C$38&gt;0,A119&gt;=$C$38,EOMONTH(A119,0)&lt;=$C$39),E119*(1-$C$40)*(1-J$34),E119*(1-J$34)))+M119</f>
        <v>16019.87875</v>
      </c>
    </row>
    <row r="120" spans="1:27" x14ac:dyDescent="0.25">
      <c r="A120" s="104">
        <f>EDATE($C$8,45)</f>
        <v>44721</v>
      </c>
      <c r="B120" s="105">
        <f>EDATE($C$8,46)-1</f>
        <v>44750</v>
      </c>
      <c r="C120" s="92">
        <f t="shared" si="10"/>
        <v>46</v>
      </c>
      <c r="D120" s="106">
        <f t="shared" si="13"/>
        <v>4</v>
      </c>
      <c r="E120" s="107">
        <f t="shared" si="14"/>
        <v>10927.27</v>
      </c>
      <c r="F120" s="94">
        <f t="shared" si="11"/>
        <v>10927.27</v>
      </c>
      <c r="G120" s="95">
        <f t="shared" si="12"/>
        <v>0</v>
      </c>
      <c r="H120" s="94">
        <f t="shared" si="15"/>
        <v>4097.7262499999997</v>
      </c>
      <c r="I120" s="94">
        <f t="shared" si="16"/>
        <v>2048.8631249999999</v>
      </c>
      <c r="J120" s="94">
        <f t="shared" si="17"/>
        <v>3414.7718749999999</v>
      </c>
      <c r="K120" s="94">
        <f t="shared" si="18"/>
        <v>663.255</v>
      </c>
      <c r="L120" s="94">
        <f t="shared" si="19"/>
        <v>331.6275</v>
      </c>
      <c r="M120" s="94">
        <f t="shared" si="7"/>
        <v>10556.24375</v>
      </c>
      <c r="N120" s="107">
        <f t="shared" si="20"/>
        <v>21483.513749999998</v>
      </c>
      <c r="O120" s="108">
        <f t="shared" si="9"/>
        <v>1.4322342499999998</v>
      </c>
      <c r="P120" s="107">
        <f>MAX(SUM(N120:N198)+S120,0)</f>
        <v>1805664.8219594138</v>
      </c>
      <c r="Q120" s="107">
        <f>SUM(F120:F198)</f>
        <v>919851.25116992812</v>
      </c>
      <c r="R120" s="107">
        <f>SUM(M120:M198)</f>
        <v>885813.57078948279</v>
      </c>
      <c r="S120" s="109">
        <f>SUMPRODUCT(($C$55:$C$67)*($D$55:$D$67&gt;=$A120))</f>
        <v>0</v>
      </c>
      <c r="T120" s="150">
        <f>IF(C120&gt;$C$10,0,IF(AND($C$38&gt;0,A120&gt;=$C$38,EOMONTH(A120,0)&lt;=$C$39),E120*(1-$C$40)*(1-G$15),E120*(1-G$15)))+M120</f>
        <v>20390.786749999999</v>
      </c>
      <c r="U120" s="150">
        <f>IF(C120&gt;$C$10,0,IF(AND($C$38&gt;0,A120&gt;=$C$38,EOMONTH(A120,0)&lt;=$C$39),E120*(1-$C$40)*(1-H$15),E120*(1-H$15)))+M120</f>
        <v>19298.05975</v>
      </c>
      <c r="V120" s="150">
        <f>IF(C120&gt;$C$10,0,IF(AND($C$38&gt;0,A120&gt;=$C$38,EOMONTH(A120,0)&lt;=$C$39),E120*(1-$C$40)*(1-I$15),E120*(1-I$15)))+M120</f>
        <v>18205.332750000001</v>
      </c>
      <c r="W120" s="181">
        <f>IF(C120&gt;$C$10,0,IF(AND($C$38&gt;0,A120&gt;=$C$38,EOMONTH(A120,0)&lt;=$C$39),E120*(1-$C$40)*(1-F$34),E120*(1-F$34)))+M120</f>
        <v>21483.513749999998</v>
      </c>
      <c r="X120" s="179">
        <f>IF(C120&gt;$C$10,0,IF(AND($C$38&gt;0,A120&gt;=$C$38,EOMONTH(A120,0)&lt;=$C$39),E120*(1-$C$40)*(1-G$34),E120*(1-G$34)))+M120</f>
        <v>19298.05975</v>
      </c>
      <c r="Y120" s="178">
        <f>IF(C120&gt;$C$10,0,IF(AND($C$38&gt;0,A120&gt;=$C$38,EOMONTH(A120,0)&lt;=$C$39),E120*(1-$C$40)*(1-H$34),E120*(1-H$34)))+M120</f>
        <v>18205.332750000001</v>
      </c>
      <c r="Z120" s="179">
        <f>IF(C120&gt;$C$10,0,IF(AND($C$38&gt;0,A120&gt;=$C$38,EOMONTH(A120,0)&lt;=$C$39),E120*(1-$C$40)*(1-I$34),E120*(1-I$34)))+M120</f>
        <v>17112.605749999999</v>
      </c>
      <c r="AA120" s="180">
        <f>IF(C120&gt;$C$10,0,IF(AND($C$38&gt;0,A120&gt;=$C$38,EOMONTH(A120,0)&lt;=$C$39),E120*(1-$C$40)*(1-J$34),E120*(1-J$34)))+M120</f>
        <v>16019.87875</v>
      </c>
    </row>
    <row r="121" spans="1:27" x14ac:dyDescent="0.25">
      <c r="A121" s="98">
        <f>EDATE($C$8,46)</f>
        <v>44751</v>
      </c>
      <c r="B121" s="99">
        <f>EDATE($C$8,47)-1</f>
        <v>44781</v>
      </c>
      <c r="C121" s="92">
        <f t="shared" si="10"/>
        <v>47</v>
      </c>
      <c r="D121" s="100">
        <f t="shared" si="13"/>
        <v>4</v>
      </c>
      <c r="E121" s="101">
        <f t="shared" si="14"/>
        <v>10927.27</v>
      </c>
      <c r="F121" s="94">
        <f t="shared" si="11"/>
        <v>10927.27</v>
      </c>
      <c r="G121" s="95">
        <f t="shared" si="12"/>
        <v>0</v>
      </c>
      <c r="H121" s="94">
        <f t="shared" si="15"/>
        <v>4097.7262499999997</v>
      </c>
      <c r="I121" s="94">
        <f t="shared" si="16"/>
        <v>2048.8631249999999</v>
      </c>
      <c r="J121" s="94">
        <f t="shared" si="17"/>
        <v>3414.7718749999999</v>
      </c>
      <c r="K121" s="94">
        <f t="shared" si="18"/>
        <v>663.255</v>
      </c>
      <c r="L121" s="94">
        <f t="shared" si="19"/>
        <v>331.6275</v>
      </c>
      <c r="M121" s="94">
        <f t="shared" si="7"/>
        <v>10556.24375</v>
      </c>
      <c r="N121" s="101">
        <f t="shared" si="20"/>
        <v>21483.513749999998</v>
      </c>
      <c r="O121" s="102">
        <f t="shared" si="9"/>
        <v>1.4322342499999998</v>
      </c>
      <c r="P121" s="101">
        <f>MAX(SUM(N121:N198)+S121,0)</f>
        <v>1784181.3082094139</v>
      </c>
      <c r="Q121" s="101">
        <f>SUM(F121:F198)</f>
        <v>908923.9811699281</v>
      </c>
      <c r="R121" s="101">
        <f>SUM(M121:M198)</f>
        <v>875257.32703948289</v>
      </c>
      <c r="S121" s="103">
        <f>SUMPRODUCT(($C$55:$C$67)*($D$55:$D$67&gt;=$A121))</f>
        <v>0</v>
      </c>
      <c r="T121" s="150">
        <f>IF(C121&gt;$C$10,0,IF(AND($C$38&gt;0,A121&gt;=$C$38,EOMONTH(A121,0)&lt;=$C$39),E121*(1-$C$40)*(1-G$15),E121*(1-G$15)))+M121</f>
        <v>20390.786749999999</v>
      </c>
      <c r="U121" s="150">
        <f>IF(C121&gt;$C$10,0,IF(AND($C$38&gt;0,A121&gt;=$C$38,EOMONTH(A121,0)&lt;=$C$39),E121*(1-$C$40)*(1-H$15),E121*(1-H$15)))+M121</f>
        <v>19298.05975</v>
      </c>
      <c r="V121" s="150">
        <f>IF(C121&gt;$C$10,0,IF(AND($C$38&gt;0,A121&gt;=$C$38,EOMONTH(A121,0)&lt;=$C$39),E121*(1-$C$40)*(1-I$15),E121*(1-I$15)))+M121</f>
        <v>18205.332750000001</v>
      </c>
      <c r="W121" s="181">
        <f>IF(C121&gt;$C$10,0,IF(AND($C$38&gt;0,A121&gt;=$C$38,EOMONTH(A121,0)&lt;=$C$39),E121*(1-$C$40)*(1-F$34),E121*(1-F$34)))+M121</f>
        <v>21483.513749999998</v>
      </c>
      <c r="X121" s="179">
        <f>IF(C121&gt;$C$10,0,IF(AND($C$38&gt;0,A121&gt;=$C$38,EOMONTH(A121,0)&lt;=$C$39),E121*(1-$C$40)*(1-G$34),E121*(1-G$34)))+M121</f>
        <v>19298.05975</v>
      </c>
      <c r="Y121" s="178">
        <f>IF(C121&gt;$C$10,0,IF(AND($C$38&gt;0,A121&gt;=$C$38,EOMONTH(A121,0)&lt;=$C$39),E121*(1-$C$40)*(1-H$34),E121*(1-H$34)))+M121</f>
        <v>18205.332750000001</v>
      </c>
      <c r="Z121" s="179">
        <f>IF(C121&gt;$C$10,0,IF(AND($C$38&gt;0,A121&gt;=$C$38,EOMONTH(A121,0)&lt;=$C$39),E121*(1-$C$40)*(1-I$34),E121*(1-I$34)))+M121</f>
        <v>17112.605749999999</v>
      </c>
      <c r="AA121" s="180">
        <f>IF(C121&gt;$C$10,0,IF(AND($C$38&gt;0,A121&gt;=$C$38,EOMONTH(A121,0)&lt;=$C$39),E121*(1-$C$40)*(1-J$34),E121*(1-J$34)))+M121</f>
        <v>16019.87875</v>
      </c>
    </row>
    <row r="122" spans="1:27" x14ac:dyDescent="0.25">
      <c r="A122" s="104">
        <f>EDATE($C$8,47)</f>
        <v>44782</v>
      </c>
      <c r="B122" s="105">
        <f>EDATE($C$8,48)-1</f>
        <v>44812</v>
      </c>
      <c r="C122" s="92">
        <f t="shared" si="10"/>
        <v>48</v>
      </c>
      <c r="D122" s="106">
        <f t="shared" si="13"/>
        <v>4</v>
      </c>
      <c r="E122" s="107">
        <f t="shared" si="14"/>
        <v>10927.27</v>
      </c>
      <c r="F122" s="94">
        <f t="shared" si="11"/>
        <v>10927.27</v>
      </c>
      <c r="G122" s="95">
        <f t="shared" si="12"/>
        <v>0</v>
      </c>
      <c r="H122" s="94">
        <f t="shared" si="15"/>
        <v>4097.7262499999997</v>
      </c>
      <c r="I122" s="94">
        <f t="shared" si="16"/>
        <v>2048.8631249999999</v>
      </c>
      <c r="J122" s="94">
        <f t="shared" si="17"/>
        <v>3414.7718749999999</v>
      </c>
      <c r="K122" s="94">
        <f t="shared" si="18"/>
        <v>663.255</v>
      </c>
      <c r="L122" s="94">
        <f t="shared" si="19"/>
        <v>331.6275</v>
      </c>
      <c r="M122" s="94">
        <f t="shared" si="7"/>
        <v>10556.24375</v>
      </c>
      <c r="N122" s="107">
        <f t="shared" si="20"/>
        <v>21483.513749999998</v>
      </c>
      <c r="O122" s="108">
        <f t="shared" si="9"/>
        <v>1.4322342499999998</v>
      </c>
      <c r="P122" s="107">
        <f>MAX(SUM(N122:N198)+S122,0)</f>
        <v>1762697.7944594137</v>
      </c>
      <c r="Q122" s="107">
        <f>SUM(F122:F198)</f>
        <v>897996.7111699282</v>
      </c>
      <c r="R122" s="107">
        <f>SUM(M122:M198)</f>
        <v>864701.08328948286</v>
      </c>
      <c r="S122" s="109">
        <f>SUMPRODUCT(($C$55:$C$67)*($D$55:$D$67&gt;=$A122))</f>
        <v>0</v>
      </c>
      <c r="T122" s="150">
        <f>IF(C122&gt;$C$10,0,IF(AND($C$38&gt;0,A122&gt;=$C$38,EOMONTH(A122,0)&lt;=$C$39),E122*(1-$C$40)*(1-G$15),E122*(1-G$15)))+M122</f>
        <v>20390.786749999999</v>
      </c>
      <c r="U122" s="150">
        <f>IF(C122&gt;$C$10,0,IF(AND($C$38&gt;0,A122&gt;=$C$38,EOMONTH(A122,0)&lt;=$C$39),E122*(1-$C$40)*(1-H$15),E122*(1-H$15)))+M122</f>
        <v>19298.05975</v>
      </c>
      <c r="V122" s="150">
        <f>IF(C122&gt;$C$10,0,IF(AND($C$38&gt;0,A122&gt;=$C$38,EOMONTH(A122,0)&lt;=$C$39),E122*(1-$C$40)*(1-I$15),E122*(1-I$15)))+M122</f>
        <v>18205.332750000001</v>
      </c>
      <c r="W122" s="181">
        <f>IF(C122&gt;$C$10,0,IF(AND($C$38&gt;0,A122&gt;=$C$38,EOMONTH(A122,0)&lt;=$C$39),E122*(1-$C$40)*(1-F$34),E122*(1-F$34)))+M122</f>
        <v>21483.513749999998</v>
      </c>
      <c r="X122" s="179">
        <f>IF(C122&gt;$C$10,0,IF(AND($C$38&gt;0,A122&gt;=$C$38,EOMONTH(A122,0)&lt;=$C$39),E122*(1-$C$40)*(1-G$34),E122*(1-G$34)))+M122</f>
        <v>19298.05975</v>
      </c>
      <c r="Y122" s="178">
        <f>IF(C122&gt;$C$10,0,IF(AND($C$38&gt;0,A122&gt;=$C$38,EOMONTH(A122,0)&lt;=$C$39),E122*(1-$C$40)*(1-H$34),E122*(1-H$34)))+M122</f>
        <v>18205.332750000001</v>
      </c>
      <c r="Z122" s="179">
        <f>IF(C122&gt;$C$10,0,IF(AND($C$38&gt;0,A122&gt;=$C$38,EOMONTH(A122,0)&lt;=$C$39),E122*(1-$C$40)*(1-I$34),E122*(1-I$34)))+M122</f>
        <v>17112.605749999999</v>
      </c>
      <c r="AA122" s="180">
        <f>IF(C122&gt;$C$10,0,IF(AND($C$38&gt;0,A122&gt;=$C$38,EOMONTH(A122,0)&lt;=$C$39),E122*(1-$C$40)*(1-J$34),E122*(1-J$34)))+M122</f>
        <v>16019.87875</v>
      </c>
    </row>
    <row r="123" spans="1:27" x14ac:dyDescent="0.25">
      <c r="A123" s="98">
        <f>EDATE($C$8,48)</f>
        <v>44813</v>
      </c>
      <c r="B123" s="99">
        <f>EDATE($C$8,49)-1</f>
        <v>44842</v>
      </c>
      <c r="C123" s="92">
        <f t="shared" si="10"/>
        <v>49</v>
      </c>
      <c r="D123" s="100">
        <f t="shared" si="13"/>
        <v>5</v>
      </c>
      <c r="E123" s="101">
        <f t="shared" si="14"/>
        <v>11255.088099999999</v>
      </c>
      <c r="F123" s="94">
        <f t="shared" si="11"/>
        <v>11255.088099999999</v>
      </c>
      <c r="G123" s="95">
        <f t="shared" si="12"/>
        <v>0</v>
      </c>
      <c r="H123" s="94">
        <f t="shared" si="15"/>
        <v>4220.6580374999994</v>
      </c>
      <c r="I123" s="94">
        <f t="shared" si="16"/>
        <v>2110.3290187499997</v>
      </c>
      <c r="J123" s="94">
        <f t="shared" si="17"/>
        <v>3517.2150312499998</v>
      </c>
      <c r="K123" s="94">
        <f t="shared" si="18"/>
        <v>676.52009999999996</v>
      </c>
      <c r="L123" s="94">
        <f t="shared" si="19"/>
        <v>338.26004999999998</v>
      </c>
      <c r="M123" s="94">
        <f t="shared" si="7"/>
        <v>10862.982237499999</v>
      </c>
      <c r="N123" s="101">
        <f t="shared" si="20"/>
        <v>22118.070337499998</v>
      </c>
      <c r="O123" s="102">
        <f t="shared" si="9"/>
        <v>1.4745380224999998</v>
      </c>
      <c r="P123" s="101">
        <f>MAX(SUM(N123:N198)+S123,0)</f>
        <v>1741214.2807094138</v>
      </c>
      <c r="Q123" s="101">
        <f>SUM(F123:F198)</f>
        <v>887069.44116992818</v>
      </c>
      <c r="R123" s="101">
        <f>SUM(M123:M198)</f>
        <v>854144.83953948284</v>
      </c>
      <c r="S123" s="103">
        <f>SUMPRODUCT(($C$55:$C$67)*($D$55:$D$67&gt;=$A123))</f>
        <v>0</v>
      </c>
      <c r="T123" s="150">
        <f>IF(C123&gt;$C$10,0,IF(AND($C$38&gt;0,A123&gt;=$C$38,EOMONTH(A123,0)&lt;=$C$39),E123*(1-$C$40)*(1-G$15),E123*(1-G$15)))+M123</f>
        <v>20992.561527499998</v>
      </c>
      <c r="U123" s="150">
        <f>IF(C123&gt;$C$10,0,IF(AND($C$38&gt;0,A123&gt;=$C$38,EOMONTH(A123,0)&lt;=$C$39),E123*(1-$C$40)*(1-H$15),E123*(1-H$15)))+M123</f>
        <v>19867.052717499999</v>
      </c>
      <c r="V123" s="150">
        <f>IF(C123&gt;$C$10,0,IF(AND($C$38&gt;0,A123&gt;=$C$38,EOMONTH(A123,0)&lt;=$C$39),E123*(1-$C$40)*(1-I$15),E123*(1-I$15)))+M123</f>
        <v>18741.543907499996</v>
      </c>
      <c r="W123" s="181">
        <f>IF(C123&gt;$C$10,0,IF(AND($C$38&gt;0,A123&gt;=$C$38,EOMONTH(A123,0)&lt;=$C$39),E123*(1-$C$40)*(1-F$34),E123*(1-F$34)))+M123</f>
        <v>22118.070337499998</v>
      </c>
      <c r="X123" s="179">
        <f>IF(C123&gt;$C$10,0,IF(AND($C$38&gt;0,A123&gt;=$C$38,EOMONTH(A123,0)&lt;=$C$39),E123*(1-$C$40)*(1-G$34),E123*(1-G$34)))+M123</f>
        <v>19867.052717499999</v>
      </c>
      <c r="Y123" s="178">
        <f>IF(C123&gt;$C$10,0,IF(AND($C$38&gt;0,A123&gt;=$C$38,EOMONTH(A123,0)&lt;=$C$39),E123*(1-$C$40)*(1-H$34),E123*(1-H$34)))+M123</f>
        <v>18741.543907499996</v>
      </c>
      <c r="Z123" s="179">
        <f>IF(C123&gt;$C$10,0,IF(AND($C$38&gt;0,A123&gt;=$C$38,EOMONTH(A123,0)&lt;=$C$39),E123*(1-$C$40)*(1-I$34),E123*(1-I$34)))+M123</f>
        <v>17616.035097499996</v>
      </c>
      <c r="AA123" s="180">
        <f>IF(C123&gt;$C$10,0,IF(AND($C$38&gt;0,A123&gt;=$C$38,EOMONTH(A123,0)&lt;=$C$39),E123*(1-$C$40)*(1-J$34),E123*(1-J$34)))+M123</f>
        <v>16490.526287499997</v>
      </c>
    </row>
    <row r="124" spans="1:27" x14ac:dyDescent="0.25">
      <c r="A124" s="104">
        <f>EDATE($C$8,49)</f>
        <v>44843</v>
      </c>
      <c r="B124" s="105">
        <f>EDATE($C$8,50)-1</f>
        <v>44873</v>
      </c>
      <c r="C124" s="92">
        <f t="shared" si="10"/>
        <v>50</v>
      </c>
      <c r="D124" s="106">
        <f t="shared" si="13"/>
        <v>5</v>
      </c>
      <c r="E124" s="107">
        <f t="shared" si="14"/>
        <v>11255.088099999999</v>
      </c>
      <c r="F124" s="94">
        <f t="shared" si="11"/>
        <v>11255.088099999999</v>
      </c>
      <c r="G124" s="95">
        <f t="shared" si="12"/>
        <v>0</v>
      </c>
      <c r="H124" s="94">
        <f t="shared" si="15"/>
        <v>4220.6580374999994</v>
      </c>
      <c r="I124" s="94">
        <f t="shared" si="16"/>
        <v>2110.3290187499997</v>
      </c>
      <c r="J124" s="94">
        <f t="shared" si="17"/>
        <v>3517.2150312499998</v>
      </c>
      <c r="K124" s="94">
        <f t="shared" si="18"/>
        <v>676.52009999999996</v>
      </c>
      <c r="L124" s="94">
        <f t="shared" si="19"/>
        <v>338.26004999999998</v>
      </c>
      <c r="M124" s="94">
        <f t="shared" si="7"/>
        <v>10862.982237499999</v>
      </c>
      <c r="N124" s="107">
        <f t="shared" si="20"/>
        <v>22118.070337499998</v>
      </c>
      <c r="O124" s="108">
        <f t="shared" si="9"/>
        <v>1.4745380224999998</v>
      </c>
      <c r="P124" s="107">
        <f>MAX(SUM(N124:N198)+S124,0)</f>
        <v>1719096.2103719139</v>
      </c>
      <c r="Q124" s="107">
        <f>SUM(F124:F198)</f>
        <v>875814.35306992824</v>
      </c>
      <c r="R124" s="107">
        <f>SUM(M124:M198)</f>
        <v>843281.85730198293</v>
      </c>
      <c r="S124" s="109">
        <f>SUMPRODUCT(($C$55:$C$67)*($D$55:$D$67&gt;=$A124))</f>
        <v>0</v>
      </c>
      <c r="T124" s="150">
        <f>IF(C124&gt;$C$10,0,IF(AND($C$38&gt;0,A124&gt;=$C$38,EOMONTH(A124,0)&lt;=$C$39),E124*(1-$C$40)*(1-G$15),E124*(1-G$15)))+M124</f>
        <v>20992.561527499998</v>
      </c>
      <c r="U124" s="150">
        <f>IF(C124&gt;$C$10,0,IF(AND($C$38&gt;0,A124&gt;=$C$38,EOMONTH(A124,0)&lt;=$C$39),E124*(1-$C$40)*(1-H$15),E124*(1-H$15)))+M124</f>
        <v>19867.052717499999</v>
      </c>
      <c r="V124" s="150">
        <f>IF(C124&gt;$C$10,0,IF(AND($C$38&gt;0,A124&gt;=$C$38,EOMONTH(A124,0)&lt;=$C$39),E124*(1-$C$40)*(1-I$15),E124*(1-I$15)))+M124</f>
        <v>18741.543907499996</v>
      </c>
      <c r="W124" s="181">
        <f>IF(C124&gt;$C$10,0,IF(AND($C$38&gt;0,A124&gt;=$C$38,EOMONTH(A124,0)&lt;=$C$39),E124*(1-$C$40)*(1-F$34),E124*(1-F$34)))+M124</f>
        <v>22118.070337499998</v>
      </c>
      <c r="X124" s="179">
        <f>IF(C124&gt;$C$10,0,IF(AND($C$38&gt;0,A124&gt;=$C$38,EOMONTH(A124,0)&lt;=$C$39),E124*(1-$C$40)*(1-G$34),E124*(1-G$34)))+M124</f>
        <v>19867.052717499999</v>
      </c>
      <c r="Y124" s="178">
        <f>IF(C124&gt;$C$10,0,IF(AND($C$38&gt;0,A124&gt;=$C$38,EOMONTH(A124,0)&lt;=$C$39),E124*(1-$C$40)*(1-H$34),E124*(1-H$34)))+M124</f>
        <v>18741.543907499996</v>
      </c>
      <c r="Z124" s="179">
        <f>IF(C124&gt;$C$10,0,IF(AND($C$38&gt;0,A124&gt;=$C$38,EOMONTH(A124,0)&lt;=$C$39),E124*(1-$C$40)*(1-I$34),E124*(1-I$34)))+M124</f>
        <v>17616.035097499996</v>
      </c>
      <c r="AA124" s="180">
        <f>IF(C124&gt;$C$10,0,IF(AND($C$38&gt;0,A124&gt;=$C$38,EOMONTH(A124,0)&lt;=$C$39),E124*(1-$C$40)*(1-J$34),E124*(1-J$34)))+M124</f>
        <v>16490.526287499997</v>
      </c>
    </row>
    <row r="125" spans="1:27" x14ac:dyDescent="0.25">
      <c r="A125" s="98">
        <f>EDATE($C$8,50)</f>
        <v>44874</v>
      </c>
      <c r="B125" s="99">
        <f>EDATE($C$8,51)-1</f>
        <v>44903</v>
      </c>
      <c r="C125" s="92">
        <f t="shared" si="10"/>
        <v>51</v>
      </c>
      <c r="D125" s="100">
        <f t="shared" si="13"/>
        <v>5</v>
      </c>
      <c r="E125" s="101">
        <f t="shared" si="14"/>
        <v>11255.088099999999</v>
      </c>
      <c r="F125" s="94">
        <f t="shared" si="11"/>
        <v>11255.088099999999</v>
      </c>
      <c r="G125" s="95">
        <f t="shared" si="12"/>
        <v>0</v>
      </c>
      <c r="H125" s="94">
        <f t="shared" si="15"/>
        <v>4220.6580374999994</v>
      </c>
      <c r="I125" s="94">
        <f t="shared" si="16"/>
        <v>2110.3290187499997</v>
      </c>
      <c r="J125" s="94">
        <f t="shared" si="17"/>
        <v>3517.2150312499998</v>
      </c>
      <c r="K125" s="94">
        <f t="shared" si="18"/>
        <v>676.52009999999996</v>
      </c>
      <c r="L125" s="94">
        <f t="shared" si="19"/>
        <v>338.26004999999998</v>
      </c>
      <c r="M125" s="94">
        <f t="shared" si="7"/>
        <v>10862.982237499999</v>
      </c>
      <c r="N125" s="101">
        <f t="shared" si="20"/>
        <v>22118.070337499998</v>
      </c>
      <c r="O125" s="102">
        <f t="shared" si="9"/>
        <v>1.4745380224999998</v>
      </c>
      <c r="P125" s="101">
        <f>MAX(SUM(N125:N198)+S125,0)</f>
        <v>1696978.1400344139</v>
      </c>
      <c r="Q125" s="101">
        <f>SUM(F125:F198)</f>
        <v>864559.26496992831</v>
      </c>
      <c r="R125" s="101">
        <f>SUM(M125:M198)</f>
        <v>832418.87506448291</v>
      </c>
      <c r="S125" s="103">
        <f>SUMPRODUCT(($C$55:$C$67)*($D$55:$D$67&gt;=$A125))</f>
        <v>0</v>
      </c>
      <c r="T125" s="150">
        <f>IF(C125&gt;$C$10,0,IF(AND($C$38&gt;0,A125&gt;=$C$38,EOMONTH(A125,0)&lt;=$C$39),E125*(1-$C$40)*(1-G$15),E125*(1-G$15)))+M125</f>
        <v>20992.561527499998</v>
      </c>
      <c r="U125" s="150">
        <f>IF(C125&gt;$C$10,0,IF(AND($C$38&gt;0,A125&gt;=$C$38,EOMONTH(A125,0)&lt;=$C$39),E125*(1-$C$40)*(1-H$15),E125*(1-H$15)))+M125</f>
        <v>19867.052717499999</v>
      </c>
      <c r="V125" s="150">
        <f>IF(C125&gt;$C$10,0,IF(AND($C$38&gt;0,A125&gt;=$C$38,EOMONTH(A125,0)&lt;=$C$39),E125*(1-$C$40)*(1-I$15),E125*(1-I$15)))+M125</f>
        <v>18741.543907499996</v>
      </c>
      <c r="W125" s="181">
        <f>IF(C125&gt;$C$10,0,IF(AND($C$38&gt;0,A125&gt;=$C$38,EOMONTH(A125,0)&lt;=$C$39),E125*(1-$C$40)*(1-F$34),E125*(1-F$34)))+M125</f>
        <v>22118.070337499998</v>
      </c>
      <c r="X125" s="179">
        <f>IF(C125&gt;$C$10,0,IF(AND($C$38&gt;0,A125&gt;=$C$38,EOMONTH(A125,0)&lt;=$C$39),E125*(1-$C$40)*(1-G$34),E125*(1-G$34)))+M125</f>
        <v>19867.052717499999</v>
      </c>
      <c r="Y125" s="178">
        <f>IF(C125&gt;$C$10,0,IF(AND($C$38&gt;0,A125&gt;=$C$38,EOMONTH(A125,0)&lt;=$C$39),E125*(1-$C$40)*(1-H$34),E125*(1-H$34)))+M125</f>
        <v>18741.543907499996</v>
      </c>
      <c r="Z125" s="179">
        <f>IF(C125&gt;$C$10,0,IF(AND($C$38&gt;0,A125&gt;=$C$38,EOMONTH(A125,0)&lt;=$C$39),E125*(1-$C$40)*(1-I$34),E125*(1-I$34)))+M125</f>
        <v>17616.035097499996</v>
      </c>
      <c r="AA125" s="180">
        <f>IF(C125&gt;$C$10,0,IF(AND($C$38&gt;0,A125&gt;=$C$38,EOMONTH(A125,0)&lt;=$C$39),E125*(1-$C$40)*(1-J$34),E125*(1-J$34)))+M125</f>
        <v>16490.526287499997</v>
      </c>
    </row>
    <row r="126" spans="1:27" x14ac:dyDescent="0.25">
      <c r="A126" s="104">
        <f>EDATE($C$8,51)</f>
        <v>44904</v>
      </c>
      <c r="B126" s="105">
        <f>EDATE($C$8,52)-1</f>
        <v>44934</v>
      </c>
      <c r="C126" s="92">
        <f t="shared" si="10"/>
        <v>52</v>
      </c>
      <c r="D126" s="106">
        <f t="shared" si="13"/>
        <v>5</v>
      </c>
      <c r="E126" s="107">
        <f t="shared" si="14"/>
        <v>11255.088099999999</v>
      </c>
      <c r="F126" s="94">
        <f t="shared" si="11"/>
        <v>11255.088099999999</v>
      </c>
      <c r="G126" s="95">
        <f t="shared" si="12"/>
        <v>0</v>
      </c>
      <c r="H126" s="94">
        <f t="shared" si="15"/>
        <v>4220.6580374999994</v>
      </c>
      <c r="I126" s="94">
        <f t="shared" si="16"/>
        <v>2110.3290187499997</v>
      </c>
      <c r="J126" s="94">
        <f t="shared" si="17"/>
        <v>3517.2150312499998</v>
      </c>
      <c r="K126" s="94">
        <f t="shared" si="18"/>
        <v>676.52009999999996</v>
      </c>
      <c r="L126" s="94">
        <f t="shared" si="19"/>
        <v>338.26004999999998</v>
      </c>
      <c r="M126" s="94">
        <f t="shared" si="7"/>
        <v>10862.982237499999</v>
      </c>
      <c r="N126" s="107">
        <f t="shared" si="20"/>
        <v>22118.070337499998</v>
      </c>
      <c r="O126" s="108">
        <f t="shared" si="9"/>
        <v>1.4745380224999998</v>
      </c>
      <c r="P126" s="107">
        <f>MAX(SUM(N126:N198)+S126,0)</f>
        <v>1674860.0696969139</v>
      </c>
      <c r="Q126" s="107">
        <f>SUM(F126:F198)</f>
        <v>853304.17686992837</v>
      </c>
      <c r="R126" s="107">
        <f>SUM(M126:M198)</f>
        <v>821555.89282698301</v>
      </c>
      <c r="S126" s="109">
        <f>SUMPRODUCT(($C$55:$C$67)*($D$55:$D$67&gt;=$A126))</f>
        <v>0</v>
      </c>
      <c r="T126" s="150">
        <f>IF(C126&gt;$C$10,0,IF(AND($C$38&gt;0,A126&gt;=$C$38,EOMONTH(A126,0)&lt;=$C$39),E126*(1-$C$40)*(1-G$15),E126*(1-G$15)))+M126</f>
        <v>20992.561527499998</v>
      </c>
      <c r="U126" s="150">
        <f>IF(C126&gt;$C$10,0,IF(AND($C$38&gt;0,A126&gt;=$C$38,EOMONTH(A126,0)&lt;=$C$39),E126*(1-$C$40)*(1-H$15),E126*(1-H$15)))+M126</f>
        <v>19867.052717499999</v>
      </c>
      <c r="V126" s="150">
        <f>IF(C126&gt;$C$10,0,IF(AND($C$38&gt;0,A126&gt;=$C$38,EOMONTH(A126,0)&lt;=$C$39),E126*(1-$C$40)*(1-I$15),E126*(1-I$15)))+M126</f>
        <v>18741.543907499996</v>
      </c>
      <c r="W126" s="181">
        <f>IF(C126&gt;$C$10,0,IF(AND($C$38&gt;0,A126&gt;=$C$38,EOMONTH(A126,0)&lt;=$C$39),E126*(1-$C$40)*(1-F$34),E126*(1-F$34)))+M126</f>
        <v>22118.070337499998</v>
      </c>
      <c r="X126" s="179">
        <f>IF(C126&gt;$C$10,0,IF(AND($C$38&gt;0,A126&gt;=$C$38,EOMONTH(A126,0)&lt;=$C$39),E126*(1-$C$40)*(1-G$34),E126*(1-G$34)))+M126</f>
        <v>19867.052717499999</v>
      </c>
      <c r="Y126" s="178">
        <f>IF(C126&gt;$C$10,0,IF(AND($C$38&gt;0,A126&gt;=$C$38,EOMONTH(A126,0)&lt;=$C$39),E126*(1-$C$40)*(1-H$34),E126*(1-H$34)))+M126</f>
        <v>18741.543907499996</v>
      </c>
      <c r="Z126" s="179">
        <f>IF(C126&gt;$C$10,0,IF(AND($C$38&gt;0,A126&gt;=$C$38,EOMONTH(A126,0)&lt;=$C$39),E126*(1-$C$40)*(1-I$34),E126*(1-I$34)))+M126</f>
        <v>17616.035097499996</v>
      </c>
      <c r="AA126" s="180">
        <f>IF(C126&gt;$C$10,0,IF(AND($C$38&gt;0,A126&gt;=$C$38,EOMONTH(A126,0)&lt;=$C$39),E126*(1-$C$40)*(1-J$34),E126*(1-J$34)))+M126</f>
        <v>16490.526287499997</v>
      </c>
    </row>
    <row r="127" spans="1:27" x14ac:dyDescent="0.25">
      <c r="A127" s="98">
        <f>EDATE($C$8,52)</f>
        <v>44935</v>
      </c>
      <c r="B127" s="99">
        <f>EDATE($C$8,53)-1</f>
        <v>44965</v>
      </c>
      <c r="C127" s="92">
        <f t="shared" si="10"/>
        <v>53</v>
      </c>
      <c r="D127" s="100">
        <f t="shared" si="13"/>
        <v>5</v>
      </c>
      <c r="E127" s="101">
        <f t="shared" si="14"/>
        <v>11255.088099999999</v>
      </c>
      <c r="F127" s="94">
        <f t="shared" si="11"/>
        <v>11255.088099999999</v>
      </c>
      <c r="G127" s="95">
        <f t="shared" si="12"/>
        <v>0</v>
      </c>
      <c r="H127" s="94">
        <f t="shared" si="15"/>
        <v>4220.6580374999994</v>
      </c>
      <c r="I127" s="94">
        <f t="shared" si="16"/>
        <v>2110.3290187499997</v>
      </c>
      <c r="J127" s="94">
        <f t="shared" si="17"/>
        <v>3517.2150312499998</v>
      </c>
      <c r="K127" s="94">
        <f t="shared" si="18"/>
        <v>676.52009999999996</v>
      </c>
      <c r="L127" s="94">
        <f t="shared" si="19"/>
        <v>338.26004999999998</v>
      </c>
      <c r="M127" s="94">
        <f t="shared" si="7"/>
        <v>10862.982237499999</v>
      </c>
      <c r="N127" s="101">
        <f t="shared" si="20"/>
        <v>22118.070337499998</v>
      </c>
      <c r="O127" s="102">
        <f t="shared" si="9"/>
        <v>1.4745380224999998</v>
      </c>
      <c r="P127" s="101">
        <f>MAX(SUM(N127:N198)+S127,0)</f>
        <v>1652741.999359414</v>
      </c>
      <c r="Q127" s="101">
        <f>SUM(F127:F198)</f>
        <v>842049.08876992844</v>
      </c>
      <c r="R127" s="101">
        <f>SUM(M127:M198)</f>
        <v>810692.91058948298</v>
      </c>
      <c r="S127" s="103">
        <f>SUMPRODUCT(($C$55:$C$67)*($D$55:$D$67&gt;=$A127))</f>
        <v>0</v>
      </c>
      <c r="T127" s="150">
        <f>IF(C127&gt;$C$10,0,IF(AND($C$38&gt;0,A127&gt;=$C$38,EOMONTH(A127,0)&lt;=$C$39),E127*(1-$C$40)*(1-G$15),E127*(1-G$15)))+M127</f>
        <v>20992.561527499998</v>
      </c>
      <c r="U127" s="150">
        <f>IF(C127&gt;$C$10,0,IF(AND($C$38&gt;0,A127&gt;=$C$38,EOMONTH(A127,0)&lt;=$C$39),E127*(1-$C$40)*(1-H$15),E127*(1-H$15)))+M127</f>
        <v>19867.052717499999</v>
      </c>
      <c r="V127" s="150">
        <f>IF(C127&gt;$C$10,0,IF(AND($C$38&gt;0,A127&gt;=$C$38,EOMONTH(A127,0)&lt;=$C$39),E127*(1-$C$40)*(1-I$15),E127*(1-I$15)))+M127</f>
        <v>18741.543907499996</v>
      </c>
      <c r="W127" s="181">
        <f>IF(C127&gt;$C$10,0,IF(AND($C$38&gt;0,A127&gt;=$C$38,EOMONTH(A127,0)&lt;=$C$39),E127*(1-$C$40)*(1-F$34),E127*(1-F$34)))+M127</f>
        <v>22118.070337499998</v>
      </c>
      <c r="X127" s="179">
        <f>IF(C127&gt;$C$10,0,IF(AND($C$38&gt;0,A127&gt;=$C$38,EOMONTH(A127,0)&lt;=$C$39),E127*(1-$C$40)*(1-G$34),E127*(1-G$34)))+M127</f>
        <v>19867.052717499999</v>
      </c>
      <c r="Y127" s="178">
        <f>IF(C127&gt;$C$10,0,IF(AND($C$38&gt;0,A127&gt;=$C$38,EOMONTH(A127,0)&lt;=$C$39),E127*(1-$C$40)*(1-H$34),E127*(1-H$34)))+M127</f>
        <v>18741.543907499996</v>
      </c>
      <c r="Z127" s="179">
        <f>IF(C127&gt;$C$10,0,IF(AND($C$38&gt;0,A127&gt;=$C$38,EOMONTH(A127,0)&lt;=$C$39),E127*(1-$C$40)*(1-I$34),E127*(1-I$34)))+M127</f>
        <v>17616.035097499996</v>
      </c>
      <c r="AA127" s="180">
        <f>IF(C127&gt;$C$10,0,IF(AND($C$38&gt;0,A127&gt;=$C$38,EOMONTH(A127,0)&lt;=$C$39),E127*(1-$C$40)*(1-J$34),E127*(1-J$34)))+M127</f>
        <v>16490.526287499997</v>
      </c>
    </row>
    <row r="128" spans="1:27" x14ac:dyDescent="0.25">
      <c r="A128" s="104">
        <f>EDATE($C$8,53)</f>
        <v>44966</v>
      </c>
      <c r="B128" s="105">
        <f>EDATE($C$8,54)-1</f>
        <v>44993</v>
      </c>
      <c r="C128" s="92">
        <f t="shared" si="10"/>
        <v>54</v>
      </c>
      <c r="D128" s="106">
        <f t="shared" si="13"/>
        <v>5</v>
      </c>
      <c r="E128" s="107">
        <f t="shared" si="14"/>
        <v>11255.088099999999</v>
      </c>
      <c r="F128" s="94">
        <f t="shared" si="11"/>
        <v>11255.088099999999</v>
      </c>
      <c r="G128" s="95">
        <f t="shared" si="12"/>
        <v>0</v>
      </c>
      <c r="H128" s="94">
        <f t="shared" si="15"/>
        <v>4220.6580374999994</v>
      </c>
      <c r="I128" s="94">
        <f t="shared" si="16"/>
        <v>2110.3290187499997</v>
      </c>
      <c r="J128" s="94">
        <f t="shared" si="17"/>
        <v>3517.2150312499998</v>
      </c>
      <c r="K128" s="94">
        <f t="shared" si="18"/>
        <v>676.52009999999996</v>
      </c>
      <c r="L128" s="94">
        <f t="shared" si="19"/>
        <v>338.26004999999998</v>
      </c>
      <c r="M128" s="94">
        <f t="shared" si="7"/>
        <v>10862.982237499999</v>
      </c>
      <c r="N128" s="107">
        <f t="shared" si="20"/>
        <v>22118.070337499998</v>
      </c>
      <c r="O128" s="108">
        <f t="shared" si="9"/>
        <v>1.4745380224999998</v>
      </c>
      <c r="P128" s="107">
        <f>MAX(SUM(N128:N198)+S128,0)</f>
        <v>1630623.9290219143</v>
      </c>
      <c r="Q128" s="107">
        <f>SUM(F128:F198)</f>
        <v>830794.0006699285</v>
      </c>
      <c r="R128" s="107">
        <f>SUM(M128:M198)</f>
        <v>799829.92835198308</v>
      </c>
      <c r="S128" s="109">
        <f>SUMPRODUCT(($C$55:$C$67)*($D$55:$D$67&gt;=$A128))</f>
        <v>0</v>
      </c>
      <c r="T128" s="150">
        <f>IF(C128&gt;$C$10,0,IF(AND($C$38&gt;0,A128&gt;=$C$38,EOMONTH(A128,0)&lt;=$C$39),E128*(1-$C$40)*(1-G$15),E128*(1-G$15)))+M128</f>
        <v>20992.561527499998</v>
      </c>
      <c r="U128" s="150">
        <f>IF(C128&gt;$C$10,0,IF(AND($C$38&gt;0,A128&gt;=$C$38,EOMONTH(A128,0)&lt;=$C$39),E128*(1-$C$40)*(1-H$15),E128*(1-H$15)))+M128</f>
        <v>19867.052717499999</v>
      </c>
      <c r="V128" s="150">
        <f>IF(C128&gt;$C$10,0,IF(AND($C$38&gt;0,A128&gt;=$C$38,EOMONTH(A128,0)&lt;=$C$39),E128*(1-$C$40)*(1-I$15),E128*(1-I$15)))+M128</f>
        <v>18741.543907499996</v>
      </c>
      <c r="W128" s="181">
        <f>IF(C128&gt;$C$10,0,IF(AND($C$38&gt;0,A128&gt;=$C$38,EOMONTH(A128,0)&lt;=$C$39),E128*(1-$C$40)*(1-F$34),E128*(1-F$34)))+M128</f>
        <v>22118.070337499998</v>
      </c>
      <c r="X128" s="179">
        <f>IF(C128&gt;$C$10,0,IF(AND($C$38&gt;0,A128&gt;=$C$38,EOMONTH(A128,0)&lt;=$C$39),E128*(1-$C$40)*(1-G$34),E128*(1-G$34)))+M128</f>
        <v>19867.052717499999</v>
      </c>
      <c r="Y128" s="178">
        <f>IF(C128&gt;$C$10,0,IF(AND($C$38&gt;0,A128&gt;=$C$38,EOMONTH(A128,0)&lt;=$C$39),E128*(1-$C$40)*(1-H$34),E128*(1-H$34)))+M128</f>
        <v>18741.543907499996</v>
      </c>
      <c r="Z128" s="179">
        <f>IF(C128&gt;$C$10,0,IF(AND($C$38&gt;0,A128&gt;=$C$38,EOMONTH(A128,0)&lt;=$C$39),E128*(1-$C$40)*(1-I$34),E128*(1-I$34)))+M128</f>
        <v>17616.035097499996</v>
      </c>
      <c r="AA128" s="180">
        <f>IF(C128&gt;$C$10,0,IF(AND($C$38&gt;0,A128&gt;=$C$38,EOMONTH(A128,0)&lt;=$C$39),E128*(1-$C$40)*(1-J$34),E128*(1-J$34)))+M128</f>
        <v>16490.526287499997</v>
      </c>
    </row>
    <row r="129" spans="1:27" x14ac:dyDescent="0.25">
      <c r="A129" s="98">
        <f>EDATE($C$8,54)</f>
        <v>44994</v>
      </c>
      <c r="B129" s="99">
        <f>EDATE($C$8,55)-1</f>
        <v>45024</v>
      </c>
      <c r="C129" s="92">
        <f t="shared" si="10"/>
        <v>55</v>
      </c>
      <c r="D129" s="100">
        <f t="shared" si="13"/>
        <v>5</v>
      </c>
      <c r="E129" s="101">
        <f t="shared" si="14"/>
        <v>11255.088099999999</v>
      </c>
      <c r="F129" s="94">
        <f t="shared" si="11"/>
        <v>11255.088099999999</v>
      </c>
      <c r="G129" s="95">
        <f t="shared" si="12"/>
        <v>0</v>
      </c>
      <c r="H129" s="94">
        <f t="shared" si="15"/>
        <v>4220.6580374999994</v>
      </c>
      <c r="I129" s="94">
        <f t="shared" si="16"/>
        <v>2110.3290187499997</v>
      </c>
      <c r="J129" s="94">
        <f t="shared" si="17"/>
        <v>3517.2150312499998</v>
      </c>
      <c r="K129" s="94">
        <f t="shared" si="18"/>
        <v>676.52009999999996</v>
      </c>
      <c r="L129" s="94">
        <f t="shared" si="19"/>
        <v>338.26004999999998</v>
      </c>
      <c r="M129" s="94">
        <f t="shared" si="7"/>
        <v>10862.982237499999</v>
      </c>
      <c r="N129" s="101">
        <f t="shared" si="20"/>
        <v>22118.070337499998</v>
      </c>
      <c r="O129" s="102">
        <f t="shared" si="9"/>
        <v>1.4745380224999998</v>
      </c>
      <c r="P129" s="101">
        <f>MAX(SUM(N129:N198)+S129,0)</f>
        <v>1608505.8586844143</v>
      </c>
      <c r="Q129" s="101">
        <f>SUM(F129:F198)</f>
        <v>819538.91256992857</v>
      </c>
      <c r="R129" s="101">
        <f>SUM(M129:M198)</f>
        <v>788966.94611448306</v>
      </c>
      <c r="S129" s="103">
        <f>SUMPRODUCT(($C$55:$C$67)*($D$55:$D$67&gt;=$A129))</f>
        <v>0</v>
      </c>
      <c r="T129" s="150">
        <f>IF(C129&gt;$C$10,0,IF(AND($C$38&gt;0,A129&gt;=$C$38,EOMONTH(A129,0)&lt;=$C$39),E129*(1-$C$40)*(1-G$15),E129*(1-G$15)))+M129</f>
        <v>20992.561527499998</v>
      </c>
      <c r="U129" s="150">
        <f>IF(C129&gt;$C$10,0,IF(AND($C$38&gt;0,A129&gt;=$C$38,EOMONTH(A129,0)&lt;=$C$39),E129*(1-$C$40)*(1-H$15),E129*(1-H$15)))+M129</f>
        <v>19867.052717499999</v>
      </c>
      <c r="V129" s="150">
        <f>IF(C129&gt;$C$10,0,IF(AND($C$38&gt;0,A129&gt;=$C$38,EOMONTH(A129,0)&lt;=$C$39),E129*(1-$C$40)*(1-I$15),E129*(1-I$15)))+M129</f>
        <v>18741.543907499996</v>
      </c>
      <c r="W129" s="181">
        <f>IF(C129&gt;$C$10,0,IF(AND($C$38&gt;0,A129&gt;=$C$38,EOMONTH(A129,0)&lt;=$C$39),E129*(1-$C$40)*(1-F$34),E129*(1-F$34)))+M129</f>
        <v>22118.070337499998</v>
      </c>
      <c r="X129" s="179">
        <f>IF(C129&gt;$C$10,0,IF(AND($C$38&gt;0,A129&gt;=$C$38,EOMONTH(A129,0)&lt;=$C$39),E129*(1-$C$40)*(1-G$34),E129*(1-G$34)))+M129</f>
        <v>19867.052717499999</v>
      </c>
      <c r="Y129" s="178">
        <f>IF(C129&gt;$C$10,0,IF(AND($C$38&gt;0,A129&gt;=$C$38,EOMONTH(A129,0)&lt;=$C$39),E129*(1-$C$40)*(1-H$34),E129*(1-H$34)))+M129</f>
        <v>18741.543907499996</v>
      </c>
      <c r="Z129" s="179">
        <f>IF(C129&gt;$C$10,0,IF(AND($C$38&gt;0,A129&gt;=$C$38,EOMONTH(A129,0)&lt;=$C$39),E129*(1-$C$40)*(1-I$34),E129*(1-I$34)))+M129</f>
        <v>17616.035097499996</v>
      </c>
      <c r="AA129" s="180">
        <f>IF(C129&gt;$C$10,0,IF(AND($C$38&gt;0,A129&gt;=$C$38,EOMONTH(A129,0)&lt;=$C$39),E129*(1-$C$40)*(1-J$34),E129*(1-J$34)))+M129</f>
        <v>16490.526287499997</v>
      </c>
    </row>
    <row r="130" spans="1:27" x14ac:dyDescent="0.25">
      <c r="A130" s="104">
        <f>EDATE($C$8,55)</f>
        <v>45025</v>
      </c>
      <c r="B130" s="105">
        <f>EDATE($C$8,56)-1</f>
        <v>45054</v>
      </c>
      <c r="C130" s="92">
        <f t="shared" si="10"/>
        <v>56</v>
      </c>
      <c r="D130" s="106">
        <f t="shared" si="13"/>
        <v>5</v>
      </c>
      <c r="E130" s="107">
        <f t="shared" si="14"/>
        <v>11255.088099999999</v>
      </c>
      <c r="F130" s="94">
        <f t="shared" si="11"/>
        <v>11255.088099999999</v>
      </c>
      <c r="G130" s="95">
        <f t="shared" si="12"/>
        <v>0</v>
      </c>
      <c r="H130" s="94">
        <f t="shared" si="15"/>
        <v>4220.6580374999994</v>
      </c>
      <c r="I130" s="94">
        <f t="shared" si="16"/>
        <v>2110.3290187499997</v>
      </c>
      <c r="J130" s="94">
        <f t="shared" si="17"/>
        <v>3517.2150312499998</v>
      </c>
      <c r="K130" s="94">
        <f t="shared" si="18"/>
        <v>676.52009999999996</v>
      </c>
      <c r="L130" s="94">
        <f t="shared" si="19"/>
        <v>338.26004999999998</v>
      </c>
      <c r="M130" s="94">
        <f t="shared" si="7"/>
        <v>10862.982237499999</v>
      </c>
      <c r="N130" s="107">
        <f t="shared" si="20"/>
        <v>22118.070337499998</v>
      </c>
      <c r="O130" s="108">
        <f t="shared" si="9"/>
        <v>1.4745380224999998</v>
      </c>
      <c r="P130" s="107">
        <f>MAX(SUM(N130:N198)+S130,0)</f>
        <v>1586387.7883469143</v>
      </c>
      <c r="Q130" s="107">
        <f>SUM(F130:F198)</f>
        <v>808283.82446992863</v>
      </c>
      <c r="R130" s="107">
        <f>SUM(M130:M198)</f>
        <v>778103.96387698315</v>
      </c>
      <c r="S130" s="109">
        <f>SUMPRODUCT(($C$55:$C$67)*($D$55:$D$67&gt;=$A130))</f>
        <v>0</v>
      </c>
      <c r="T130" s="150">
        <f>IF(C130&gt;$C$10,0,IF(AND($C$38&gt;0,A130&gt;=$C$38,EOMONTH(A130,0)&lt;=$C$39),E130*(1-$C$40)*(1-G$15),E130*(1-G$15)))+M130</f>
        <v>20992.561527499998</v>
      </c>
      <c r="U130" s="150">
        <f>IF(C130&gt;$C$10,0,IF(AND($C$38&gt;0,A130&gt;=$C$38,EOMONTH(A130,0)&lt;=$C$39),E130*(1-$C$40)*(1-H$15),E130*(1-H$15)))+M130</f>
        <v>19867.052717499999</v>
      </c>
      <c r="V130" s="150">
        <f>IF(C130&gt;$C$10,0,IF(AND($C$38&gt;0,A130&gt;=$C$38,EOMONTH(A130,0)&lt;=$C$39),E130*(1-$C$40)*(1-I$15),E130*(1-I$15)))+M130</f>
        <v>18741.543907499996</v>
      </c>
      <c r="W130" s="181">
        <f>IF(C130&gt;$C$10,0,IF(AND($C$38&gt;0,A130&gt;=$C$38,EOMONTH(A130,0)&lt;=$C$39),E130*(1-$C$40)*(1-F$34),E130*(1-F$34)))+M130</f>
        <v>22118.070337499998</v>
      </c>
      <c r="X130" s="179">
        <f>IF(C130&gt;$C$10,0,IF(AND($C$38&gt;0,A130&gt;=$C$38,EOMONTH(A130,0)&lt;=$C$39),E130*(1-$C$40)*(1-G$34),E130*(1-G$34)))+M130</f>
        <v>19867.052717499999</v>
      </c>
      <c r="Y130" s="178">
        <f>IF(C130&gt;$C$10,0,IF(AND($C$38&gt;0,A130&gt;=$C$38,EOMONTH(A130,0)&lt;=$C$39),E130*(1-$C$40)*(1-H$34),E130*(1-H$34)))+M130</f>
        <v>18741.543907499996</v>
      </c>
      <c r="Z130" s="179">
        <f>IF(C130&gt;$C$10,0,IF(AND($C$38&gt;0,A130&gt;=$C$38,EOMONTH(A130,0)&lt;=$C$39),E130*(1-$C$40)*(1-I$34),E130*(1-I$34)))+M130</f>
        <v>17616.035097499996</v>
      </c>
      <c r="AA130" s="180">
        <f>IF(C130&gt;$C$10,0,IF(AND($C$38&gt;0,A130&gt;=$C$38,EOMONTH(A130,0)&lt;=$C$39),E130*(1-$C$40)*(1-J$34),E130*(1-J$34)))+M130</f>
        <v>16490.526287499997</v>
      </c>
    </row>
    <row r="131" spans="1:27" x14ac:dyDescent="0.25">
      <c r="A131" s="98">
        <f>EDATE($C$8,56)</f>
        <v>45055</v>
      </c>
      <c r="B131" s="99">
        <f>EDATE($C$8,57)-1</f>
        <v>45085</v>
      </c>
      <c r="C131" s="92">
        <f t="shared" si="10"/>
        <v>57</v>
      </c>
      <c r="D131" s="100">
        <f t="shared" si="13"/>
        <v>5</v>
      </c>
      <c r="E131" s="101">
        <f t="shared" si="14"/>
        <v>11255.088099999999</v>
      </c>
      <c r="F131" s="94">
        <f t="shared" si="11"/>
        <v>11255.088099999999</v>
      </c>
      <c r="G131" s="95">
        <f t="shared" si="12"/>
        <v>0</v>
      </c>
      <c r="H131" s="94">
        <f t="shared" si="15"/>
        <v>4220.6580374999994</v>
      </c>
      <c r="I131" s="94">
        <f t="shared" si="16"/>
        <v>2110.3290187499997</v>
      </c>
      <c r="J131" s="94">
        <f t="shared" si="17"/>
        <v>3517.2150312499998</v>
      </c>
      <c r="K131" s="94">
        <f t="shared" si="18"/>
        <v>676.52009999999996</v>
      </c>
      <c r="L131" s="94">
        <f t="shared" si="19"/>
        <v>338.26004999999998</v>
      </c>
      <c r="M131" s="94">
        <f t="shared" si="7"/>
        <v>10862.982237499999</v>
      </c>
      <c r="N131" s="101">
        <f t="shared" si="20"/>
        <v>22118.070337499998</v>
      </c>
      <c r="O131" s="102">
        <f t="shared" si="9"/>
        <v>1.4745380224999998</v>
      </c>
      <c r="P131" s="101">
        <f>MAX(SUM(N131:N198)+S131,0)</f>
        <v>1564269.7180094144</v>
      </c>
      <c r="Q131" s="101">
        <f>SUM(F131:F198)</f>
        <v>797028.73636992869</v>
      </c>
      <c r="R131" s="101">
        <f>SUM(M131:M198)</f>
        <v>767240.98163948325</v>
      </c>
      <c r="S131" s="103">
        <f>SUMPRODUCT(($C$55:$C$67)*($D$55:$D$67&gt;=$A131))</f>
        <v>0</v>
      </c>
      <c r="T131" s="150">
        <f>IF(C131&gt;$C$10,0,IF(AND($C$38&gt;0,A131&gt;=$C$38,EOMONTH(A131,0)&lt;=$C$39),E131*(1-$C$40)*(1-G$15),E131*(1-G$15)))+M131</f>
        <v>20992.561527499998</v>
      </c>
      <c r="U131" s="150">
        <f>IF(C131&gt;$C$10,0,IF(AND($C$38&gt;0,A131&gt;=$C$38,EOMONTH(A131,0)&lt;=$C$39),E131*(1-$C$40)*(1-H$15),E131*(1-H$15)))+M131</f>
        <v>19867.052717499999</v>
      </c>
      <c r="V131" s="150">
        <f>IF(C131&gt;$C$10,0,IF(AND($C$38&gt;0,A131&gt;=$C$38,EOMONTH(A131,0)&lt;=$C$39),E131*(1-$C$40)*(1-I$15),E131*(1-I$15)))+M131</f>
        <v>18741.543907499996</v>
      </c>
      <c r="W131" s="181">
        <f>IF(C131&gt;$C$10,0,IF(AND($C$38&gt;0,A131&gt;=$C$38,EOMONTH(A131,0)&lt;=$C$39),E131*(1-$C$40)*(1-F$34),E131*(1-F$34)))+M131</f>
        <v>22118.070337499998</v>
      </c>
      <c r="X131" s="179">
        <f>IF(C131&gt;$C$10,0,IF(AND($C$38&gt;0,A131&gt;=$C$38,EOMONTH(A131,0)&lt;=$C$39),E131*(1-$C$40)*(1-G$34),E131*(1-G$34)))+M131</f>
        <v>19867.052717499999</v>
      </c>
      <c r="Y131" s="178">
        <f>IF(C131&gt;$C$10,0,IF(AND($C$38&gt;0,A131&gt;=$C$38,EOMONTH(A131,0)&lt;=$C$39),E131*(1-$C$40)*(1-H$34),E131*(1-H$34)))+M131</f>
        <v>18741.543907499996</v>
      </c>
      <c r="Z131" s="179">
        <f>IF(C131&gt;$C$10,0,IF(AND($C$38&gt;0,A131&gt;=$C$38,EOMONTH(A131,0)&lt;=$C$39),E131*(1-$C$40)*(1-I$34),E131*(1-I$34)))+M131</f>
        <v>17616.035097499996</v>
      </c>
      <c r="AA131" s="180">
        <f>IF(C131&gt;$C$10,0,IF(AND($C$38&gt;0,A131&gt;=$C$38,EOMONTH(A131,0)&lt;=$C$39),E131*(1-$C$40)*(1-J$34),E131*(1-J$34)))+M131</f>
        <v>16490.526287499997</v>
      </c>
    </row>
    <row r="132" spans="1:27" x14ac:dyDescent="0.25">
      <c r="A132" s="104">
        <f>EDATE($C$8,57)</f>
        <v>45086</v>
      </c>
      <c r="B132" s="105">
        <f>EDATE($C$8,58)-1</f>
        <v>45115</v>
      </c>
      <c r="C132" s="92">
        <f t="shared" si="10"/>
        <v>58</v>
      </c>
      <c r="D132" s="106">
        <f t="shared" si="13"/>
        <v>5</v>
      </c>
      <c r="E132" s="107">
        <f t="shared" si="14"/>
        <v>11255.088099999999</v>
      </c>
      <c r="F132" s="94">
        <f t="shared" si="11"/>
        <v>11255.088099999999</v>
      </c>
      <c r="G132" s="95">
        <f t="shared" si="12"/>
        <v>0</v>
      </c>
      <c r="H132" s="94">
        <f t="shared" si="15"/>
        <v>4220.6580374999994</v>
      </c>
      <c r="I132" s="94">
        <f t="shared" si="16"/>
        <v>2110.3290187499997</v>
      </c>
      <c r="J132" s="94">
        <f t="shared" si="17"/>
        <v>3517.2150312499998</v>
      </c>
      <c r="K132" s="94">
        <f t="shared" si="18"/>
        <v>676.52009999999996</v>
      </c>
      <c r="L132" s="94">
        <f t="shared" si="19"/>
        <v>338.26004999999998</v>
      </c>
      <c r="M132" s="94">
        <f t="shared" si="7"/>
        <v>10862.982237499999</v>
      </c>
      <c r="N132" s="107">
        <f t="shared" si="20"/>
        <v>22118.070337499998</v>
      </c>
      <c r="O132" s="108">
        <f t="shared" si="9"/>
        <v>1.4745380224999998</v>
      </c>
      <c r="P132" s="107">
        <f>MAX(SUM(N132:N198)+S132,0)</f>
        <v>1542151.6476719144</v>
      </c>
      <c r="Q132" s="107">
        <f>SUM(F132:F198)</f>
        <v>785773.64826992876</v>
      </c>
      <c r="R132" s="107">
        <f>SUM(M132:M198)</f>
        <v>756377.99940198322</v>
      </c>
      <c r="S132" s="109">
        <f>SUMPRODUCT(($C$55:$C$67)*($D$55:$D$67&gt;=$A132))</f>
        <v>0</v>
      </c>
      <c r="T132" s="150">
        <f>IF(C132&gt;$C$10,0,IF(AND($C$38&gt;0,A132&gt;=$C$38,EOMONTH(A132,0)&lt;=$C$39),E132*(1-$C$40)*(1-G$15),E132*(1-G$15)))+M132</f>
        <v>20992.561527499998</v>
      </c>
      <c r="U132" s="150">
        <f>IF(C132&gt;$C$10,0,IF(AND($C$38&gt;0,A132&gt;=$C$38,EOMONTH(A132,0)&lt;=$C$39),E132*(1-$C$40)*(1-H$15),E132*(1-H$15)))+M132</f>
        <v>19867.052717499999</v>
      </c>
      <c r="V132" s="150">
        <f>IF(C132&gt;$C$10,0,IF(AND($C$38&gt;0,A132&gt;=$C$38,EOMONTH(A132,0)&lt;=$C$39),E132*(1-$C$40)*(1-I$15),E132*(1-I$15)))+M132</f>
        <v>18741.543907499996</v>
      </c>
      <c r="W132" s="181">
        <f>IF(C132&gt;$C$10,0,IF(AND($C$38&gt;0,A132&gt;=$C$38,EOMONTH(A132,0)&lt;=$C$39),E132*(1-$C$40)*(1-F$34),E132*(1-F$34)))+M132</f>
        <v>22118.070337499998</v>
      </c>
      <c r="X132" s="179">
        <f>IF(C132&gt;$C$10,0,IF(AND($C$38&gt;0,A132&gt;=$C$38,EOMONTH(A132,0)&lt;=$C$39),E132*(1-$C$40)*(1-G$34),E132*(1-G$34)))+M132</f>
        <v>19867.052717499999</v>
      </c>
      <c r="Y132" s="178">
        <f>IF(C132&gt;$C$10,0,IF(AND($C$38&gt;0,A132&gt;=$C$38,EOMONTH(A132,0)&lt;=$C$39),E132*(1-$C$40)*(1-H$34),E132*(1-H$34)))+M132</f>
        <v>18741.543907499996</v>
      </c>
      <c r="Z132" s="179">
        <f>IF(C132&gt;$C$10,0,IF(AND($C$38&gt;0,A132&gt;=$C$38,EOMONTH(A132,0)&lt;=$C$39),E132*(1-$C$40)*(1-I$34),E132*(1-I$34)))+M132</f>
        <v>17616.035097499996</v>
      </c>
      <c r="AA132" s="180">
        <f>IF(C132&gt;$C$10,0,IF(AND($C$38&gt;0,A132&gt;=$C$38,EOMONTH(A132,0)&lt;=$C$39),E132*(1-$C$40)*(1-J$34),E132*(1-J$34)))+M132</f>
        <v>16490.526287499997</v>
      </c>
    </row>
    <row r="133" spans="1:27" x14ac:dyDescent="0.25">
      <c r="A133" s="98">
        <f>EDATE($C$8,58)</f>
        <v>45116</v>
      </c>
      <c r="B133" s="99">
        <f>EDATE($C$8,59)-1</f>
        <v>45146</v>
      </c>
      <c r="C133" s="92">
        <f t="shared" si="10"/>
        <v>59</v>
      </c>
      <c r="D133" s="100">
        <f t="shared" si="13"/>
        <v>5</v>
      </c>
      <c r="E133" s="101">
        <f t="shared" si="14"/>
        <v>11255.088099999999</v>
      </c>
      <c r="F133" s="94">
        <f t="shared" si="11"/>
        <v>11255.088099999999</v>
      </c>
      <c r="G133" s="95">
        <f t="shared" si="12"/>
        <v>0</v>
      </c>
      <c r="H133" s="94">
        <f t="shared" si="15"/>
        <v>4220.6580374999994</v>
      </c>
      <c r="I133" s="94">
        <f t="shared" si="16"/>
        <v>2110.3290187499997</v>
      </c>
      <c r="J133" s="94">
        <f t="shared" si="17"/>
        <v>3517.2150312499998</v>
      </c>
      <c r="K133" s="94">
        <f t="shared" si="18"/>
        <v>676.52009999999996</v>
      </c>
      <c r="L133" s="94">
        <f t="shared" si="19"/>
        <v>338.26004999999998</v>
      </c>
      <c r="M133" s="94">
        <f t="shared" si="7"/>
        <v>10862.982237499999</v>
      </c>
      <c r="N133" s="101">
        <f t="shared" si="20"/>
        <v>22118.070337499998</v>
      </c>
      <c r="O133" s="102">
        <f t="shared" si="9"/>
        <v>1.4745380224999998</v>
      </c>
      <c r="P133" s="101">
        <f>MAX(SUM(N133:N198)+S133,0)</f>
        <v>1520033.5773344145</v>
      </c>
      <c r="Q133" s="101">
        <f>SUM(F133:F198)</f>
        <v>774518.56016992882</v>
      </c>
      <c r="R133" s="101">
        <f>SUM(M133:M198)</f>
        <v>745515.01716448332</v>
      </c>
      <c r="S133" s="103">
        <f>SUMPRODUCT(($C$55:$C$67)*($D$55:$D$67&gt;=$A133))</f>
        <v>0</v>
      </c>
      <c r="T133" s="150">
        <f>IF(C133&gt;$C$10,0,IF(AND($C$38&gt;0,A133&gt;=$C$38,EOMONTH(A133,0)&lt;=$C$39),E133*(1-$C$40)*(1-G$15),E133*(1-G$15)))+M133</f>
        <v>20992.561527499998</v>
      </c>
      <c r="U133" s="150">
        <f>IF(C133&gt;$C$10,0,IF(AND($C$38&gt;0,A133&gt;=$C$38,EOMONTH(A133,0)&lt;=$C$39),E133*(1-$C$40)*(1-H$15),E133*(1-H$15)))+M133</f>
        <v>19867.052717499999</v>
      </c>
      <c r="V133" s="150">
        <f>IF(C133&gt;$C$10,0,IF(AND($C$38&gt;0,A133&gt;=$C$38,EOMONTH(A133,0)&lt;=$C$39),E133*(1-$C$40)*(1-I$15),E133*(1-I$15)))+M133</f>
        <v>18741.543907499996</v>
      </c>
      <c r="W133" s="181">
        <f>IF(C133&gt;$C$10,0,IF(AND($C$38&gt;0,A133&gt;=$C$38,EOMONTH(A133,0)&lt;=$C$39),E133*(1-$C$40)*(1-F$34),E133*(1-F$34)))+M133</f>
        <v>22118.070337499998</v>
      </c>
      <c r="X133" s="179">
        <f>IF(C133&gt;$C$10,0,IF(AND($C$38&gt;0,A133&gt;=$C$38,EOMONTH(A133,0)&lt;=$C$39),E133*(1-$C$40)*(1-G$34),E133*(1-G$34)))+M133</f>
        <v>19867.052717499999</v>
      </c>
      <c r="Y133" s="178">
        <f>IF(C133&gt;$C$10,0,IF(AND($C$38&gt;0,A133&gt;=$C$38,EOMONTH(A133,0)&lt;=$C$39),E133*(1-$C$40)*(1-H$34),E133*(1-H$34)))+M133</f>
        <v>18741.543907499996</v>
      </c>
      <c r="Z133" s="179">
        <f>IF(C133&gt;$C$10,0,IF(AND($C$38&gt;0,A133&gt;=$C$38,EOMONTH(A133,0)&lt;=$C$39),E133*(1-$C$40)*(1-I$34),E133*(1-I$34)))+M133</f>
        <v>17616.035097499996</v>
      </c>
      <c r="AA133" s="180">
        <f>IF(C133&gt;$C$10,0,IF(AND($C$38&gt;0,A133&gt;=$C$38,EOMONTH(A133,0)&lt;=$C$39),E133*(1-$C$40)*(1-J$34),E133*(1-J$34)))+M133</f>
        <v>16490.526287499997</v>
      </c>
    </row>
    <row r="134" spans="1:27" x14ac:dyDescent="0.25">
      <c r="A134" s="104">
        <f>EDATE($C$8,59)</f>
        <v>45147</v>
      </c>
      <c r="B134" s="105">
        <f>EDATE($C$8,60)-1</f>
        <v>45177</v>
      </c>
      <c r="C134" s="92">
        <f t="shared" si="10"/>
        <v>60</v>
      </c>
      <c r="D134" s="106">
        <f t="shared" si="13"/>
        <v>5</v>
      </c>
      <c r="E134" s="107">
        <f t="shared" si="14"/>
        <v>11255.088099999999</v>
      </c>
      <c r="F134" s="94">
        <f t="shared" si="11"/>
        <v>11255.088099999999</v>
      </c>
      <c r="G134" s="95">
        <f t="shared" si="12"/>
        <v>0</v>
      </c>
      <c r="H134" s="94">
        <f t="shared" si="15"/>
        <v>4220.6580374999994</v>
      </c>
      <c r="I134" s="94">
        <f t="shared" si="16"/>
        <v>2110.3290187499997</v>
      </c>
      <c r="J134" s="94">
        <f t="shared" si="17"/>
        <v>3517.2150312499998</v>
      </c>
      <c r="K134" s="94">
        <f t="shared" si="18"/>
        <v>676.52009999999996</v>
      </c>
      <c r="L134" s="94">
        <f t="shared" si="19"/>
        <v>338.26004999999998</v>
      </c>
      <c r="M134" s="94">
        <f t="shared" si="7"/>
        <v>10862.982237499999</v>
      </c>
      <c r="N134" s="107">
        <f t="shared" si="20"/>
        <v>22118.070337499998</v>
      </c>
      <c r="O134" s="108">
        <f t="shared" si="9"/>
        <v>1.4745380224999998</v>
      </c>
      <c r="P134" s="107">
        <f>MAX(SUM(N134:N198)+S134,0)</f>
        <v>1497915.5069969145</v>
      </c>
      <c r="Q134" s="107">
        <f>SUM(F134:F198)</f>
        <v>763263.47206992889</v>
      </c>
      <c r="R134" s="107">
        <f>SUM(M134:M198)</f>
        <v>734652.03492698341</v>
      </c>
      <c r="S134" s="109">
        <f>SUMPRODUCT(($C$55:$C$67)*($D$55:$D$67&gt;=$A134))</f>
        <v>0</v>
      </c>
      <c r="T134" s="150">
        <f>IF(C134&gt;$C$10,0,IF(AND($C$38&gt;0,A134&gt;=$C$38,EOMONTH(A134,0)&lt;=$C$39),E134*(1-$C$40)*(1-G$15),E134*(1-G$15)))+M134</f>
        <v>20992.561527499998</v>
      </c>
      <c r="U134" s="150">
        <f>IF(C134&gt;$C$10,0,IF(AND($C$38&gt;0,A134&gt;=$C$38,EOMONTH(A134,0)&lt;=$C$39),E134*(1-$C$40)*(1-H$15),E134*(1-H$15)))+M134</f>
        <v>19867.052717499999</v>
      </c>
      <c r="V134" s="150">
        <f>IF(C134&gt;$C$10,0,IF(AND($C$38&gt;0,A134&gt;=$C$38,EOMONTH(A134,0)&lt;=$C$39),E134*(1-$C$40)*(1-I$15),E134*(1-I$15)))+M134</f>
        <v>18741.543907499996</v>
      </c>
      <c r="W134" s="181">
        <f>IF(C134&gt;$C$10,0,IF(AND($C$38&gt;0,A134&gt;=$C$38,EOMONTH(A134,0)&lt;=$C$39),E134*(1-$C$40)*(1-F$34),E134*(1-F$34)))+M134</f>
        <v>22118.070337499998</v>
      </c>
      <c r="X134" s="179">
        <f>IF(C134&gt;$C$10,0,IF(AND($C$38&gt;0,A134&gt;=$C$38,EOMONTH(A134,0)&lt;=$C$39),E134*(1-$C$40)*(1-G$34),E134*(1-G$34)))+M134</f>
        <v>19867.052717499999</v>
      </c>
      <c r="Y134" s="178">
        <f>IF(C134&gt;$C$10,0,IF(AND($C$38&gt;0,A134&gt;=$C$38,EOMONTH(A134,0)&lt;=$C$39),E134*(1-$C$40)*(1-H$34),E134*(1-H$34)))+M134</f>
        <v>18741.543907499996</v>
      </c>
      <c r="Z134" s="179">
        <f>IF(C134&gt;$C$10,0,IF(AND($C$38&gt;0,A134&gt;=$C$38,EOMONTH(A134,0)&lt;=$C$39),E134*(1-$C$40)*(1-I$34),E134*(1-I$34)))+M134</f>
        <v>17616.035097499996</v>
      </c>
      <c r="AA134" s="180">
        <f>IF(C134&gt;$C$10,0,IF(AND($C$38&gt;0,A134&gt;=$C$38,EOMONTH(A134,0)&lt;=$C$39),E134*(1-$C$40)*(1-J$34),E134*(1-J$34)))+M134</f>
        <v>16490.526287499997</v>
      </c>
    </row>
    <row r="135" spans="1:27" x14ac:dyDescent="0.25">
      <c r="A135" s="98">
        <f>EDATE($C$8,60)</f>
        <v>45178</v>
      </c>
      <c r="B135" s="99">
        <f>EDATE($C$8,61)-1</f>
        <v>45207</v>
      </c>
      <c r="C135" s="92">
        <f t="shared" si="10"/>
        <v>61</v>
      </c>
      <c r="D135" s="100">
        <f t="shared" si="13"/>
        <v>6</v>
      </c>
      <c r="E135" s="101">
        <f t="shared" si="14"/>
        <v>11592.740742999998</v>
      </c>
      <c r="F135" s="94">
        <f t="shared" si="11"/>
        <v>11592.740742999998</v>
      </c>
      <c r="G135" s="95">
        <f t="shared" si="12"/>
        <v>0</v>
      </c>
      <c r="H135" s="94">
        <f t="shared" si="15"/>
        <v>4347.277778624999</v>
      </c>
      <c r="I135" s="94">
        <f t="shared" si="16"/>
        <v>2173.6388893124995</v>
      </c>
      <c r="J135" s="94">
        <f t="shared" si="17"/>
        <v>3622.7314821874993</v>
      </c>
      <c r="K135" s="94">
        <f t="shared" si="18"/>
        <v>690.05050200000005</v>
      </c>
      <c r="L135" s="94">
        <f t="shared" si="19"/>
        <v>345.02525100000003</v>
      </c>
      <c r="M135" s="94">
        <f t="shared" si="7"/>
        <v>11178.723903124999</v>
      </c>
      <c r="N135" s="101">
        <f t="shared" si="20"/>
        <v>22771.464646124998</v>
      </c>
      <c r="O135" s="102">
        <f t="shared" si="9"/>
        <v>1.5180976430749999</v>
      </c>
      <c r="P135" s="101">
        <f>MAX(SUM(N135:N198)+S135,0)</f>
        <v>1475797.4366594148</v>
      </c>
      <c r="Q135" s="101">
        <f>SUM(F135:F198)</f>
        <v>752008.38396992884</v>
      </c>
      <c r="R135" s="101">
        <f>SUM(M135:M198)</f>
        <v>723789.05268948339</v>
      </c>
      <c r="S135" s="103">
        <f>SUMPRODUCT(($C$55:$C$67)*($D$55:$D$67&gt;=$A135))</f>
        <v>0</v>
      </c>
      <c r="T135" s="150">
        <f>IF(C135&gt;$C$10,0,IF(AND($C$38&gt;0,A135&gt;=$C$38,EOMONTH(A135,0)&lt;=$C$39),E135*(1-$C$40)*(1-G$15),E135*(1-G$15)))+M135</f>
        <v>21612.190571824998</v>
      </c>
      <c r="U135" s="150">
        <f>IF(C135&gt;$C$10,0,IF(AND($C$38&gt;0,A135&gt;=$C$38,EOMONTH(A135,0)&lt;=$C$39),E135*(1-$C$40)*(1-H$15),E135*(1-H$15)))+M135</f>
        <v>20452.916497524999</v>
      </c>
      <c r="V135" s="150">
        <f>IF(C135&gt;$C$10,0,IF(AND($C$38&gt;0,A135&gt;=$C$38,EOMONTH(A135,0)&lt;=$C$39),E135*(1-$C$40)*(1-I$15),E135*(1-I$15)))+M135</f>
        <v>19293.642423224999</v>
      </c>
      <c r="W135" s="181">
        <f>IF(C135&gt;$C$10,0,IF(AND($C$38&gt;0,A135&gt;=$C$38,EOMONTH(A135,0)&lt;=$C$39),E135*(1-$C$40)*(1-F$34),E135*(1-F$34)))+M135</f>
        <v>22771.464646124998</v>
      </c>
      <c r="X135" s="179">
        <f>IF(C135&gt;$C$10,0,IF(AND($C$38&gt;0,A135&gt;=$C$38,EOMONTH(A135,0)&lt;=$C$39),E135*(1-$C$40)*(1-G$34),E135*(1-G$34)))+M135</f>
        <v>20452.916497524999</v>
      </c>
      <c r="Y135" s="178">
        <f>IF(C135&gt;$C$10,0,IF(AND($C$38&gt;0,A135&gt;=$C$38,EOMONTH(A135,0)&lt;=$C$39),E135*(1-$C$40)*(1-H$34),E135*(1-H$34)))+M135</f>
        <v>19293.642423224999</v>
      </c>
      <c r="Z135" s="179">
        <f>IF(C135&gt;$C$10,0,IF(AND($C$38&gt;0,A135&gt;=$C$38,EOMONTH(A135,0)&lt;=$C$39),E135*(1-$C$40)*(1-I$34),E135*(1-I$34)))+M135</f>
        <v>18134.368348924996</v>
      </c>
      <c r="AA135" s="180">
        <f>IF(C135&gt;$C$10,0,IF(AND($C$38&gt;0,A135&gt;=$C$38,EOMONTH(A135,0)&lt;=$C$39),E135*(1-$C$40)*(1-J$34),E135*(1-J$34)))+M135</f>
        <v>16975.094274625</v>
      </c>
    </row>
    <row r="136" spans="1:27" x14ac:dyDescent="0.25">
      <c r="A136" s="104">
        <f>EDATE($C$8,61)</f>
        <v>45208</v>
      </c>
      <c r="B136" s="105">
        <f>EDATE($C$8,62)-1</f>
        <v>45238</v>
      </c>
      <c r="C136" s="92">
        <f t="shared" si="10"/>
        <v>62</v>
      </c>
      <c r="D136" s="106">
        <f t="shared" si="13"/>
        <v>6</v>
      </c>
      <c r="E136" s="107">
        <f t="shared" si="14"/>
        <v>11592.740742999998</v>
      </c>
      <c r="F136" s="94">
        <f t="shared" si="11"/>
        <v>11592.740742999998</v>
      </c>
      <c r="G136" s="95">
        <f t="shared" si="12"/>
        <v>0</v>
      </c>
      <c r="H136" s="94">
        <f t="shared" si="15"/>
        <v>4347.277778624999</v>
      </c>
      <c r="I136" s="94">
        <f t="shared" si="16"/>
        <v>2173.6388893124995</v>
      </c>
      <c r="J136" s="94">
        <f t="shared" si="17"/>
        <v>3622.7314821874993</v>
      </c>
      <c r="K136" s="94">
        <f t="shared" si="18"/>
        <v>690.05050200000005</v>
      </c>
      <c r="L136" s="94">
        <f t="shared" si="19"/>
        <v>345.02525100000003</v>
      </c>
      <c r="M136" s="94">
        <f t="shared" si="7"/>
        <v>11178.723903124999</v>
      </c>
      <c r="N136" s="107">
        <f t="shared" si="20"/>
        <v>22771.464646124998</v>
      </c>
      <c r="O136" s="108">
        <f t="shared" si="9"/>
        <v>1.5180976430749999</v>
      </c>
      <c r="P136" s="107">
        <f>MAX(SUM(N136:N198)+S136,0)</f>
        <v>1453025.9720132898</v>
      </c>
      <c r="Q136" s="107">
        <f>SUM(F136:F198)</f>
        <v>740415.64322692889</v>
      </c>
      <c r="R136" s="107">
        <f>SUM(M136:M198)</f>
        <v>712610.32878635847</v>
      </c>
      <c r="S136" s="109">
        <f>SUMPRODUCT(($C$55:$C$67)*($D$55:$D$67&gt;=$A136))</f>
        <v>0</v>
      </c>
      <c r="T136" s="150">
        <f>IF(C136&gt;$C$10,0,IF(AND($C$38&gt;0,A136&gt;=$C$38,EOMONTH(A136,0)&lt;=$C$39),E136*(1-$C$40)*(1-G$15),E136*(1-G$15)))+M136</f>
        <v>21612.190571824998</v>
      </c>
      <c r="U136" s="150">
        <f>IF(C136&gt;$C$10,0,IF(AND($C$38&gt;0,A136&gt;=$C$38,EOMONTH(A136,0)&lt;=$C$39),E136*(1-$C$40)*(1-H$15),E136*(1-H$15)))+M136</f>
        <v>20452.916497524999</v>
      </c>
      <c r="V136" s="150">
        <f>IF(C136&gt;$C$10,0,IF(AND($C$38&gt;0,A136&gt;=$C$38,EOMONTH(A136,0)&lt;=$C$39),E136*(1-$C$40)*(1-I$15),E136*(1-I$15)))+M136</f>
        <v>19293.642423224999</v>
      </c>
      <c r="W136" s="181">
        <f>IF(C136&gt;$C$10,0,IF(AND($C$38&gt;0,A136&gt;=$C$38,EOMONTH(A136,0)&lt;=$C$39),E136*(1-$C$40)*(1-F$34),E136*(1-F$34)))+M136</f>
        <v>22771.464646124998</v>
      </c>
      <c r="X136" s="179">
        <f>IF(C136&gt;$C$10,0,IF(AND($C$38&gt;0,A136&gt;=$C$38,EOMONTH(A136,0)&lt;=$C$39),E136*(1-$C$40)*(1-G$34),E136*(1-G$34)))+M136</f>
        <v>20452.916497524999</v>
      </c>
      <c r="Y136" s="178">
        <f>IF(C136&gt;$C$10,0,IF(AND($C$38&gt;0,A136&gt;=$C$38,EOMONTH(A136,0)&lt;=$C$39),E136*(1-$C$40)*(1-H$34),E136*(1-H$34)))+M136</f>
        <v>19293.642423224999</v>
      </c>
      <c r="Z136" s="179">
        <f>IF(C136&gt;$C$10,0,IF(AND($C$38&gt;0,A136&gt;=$C$38,EOMONTH(A136,0)&lt;=$C$39),E136*(1-$C$40)*(1-I$34),E136*(1-I$34)))+M136</f>
        <v>18134.368348924996</v>
      </c>
      <c r="AA136" s="180">
        <f>IF(C136&gt;$C$10,0,IF(AND($C$38&gt;0,A136&gt;=$C$38,EOMONTH(A136,0)&lt;=$C$39),E136*(1-$C$40)*(1-J$34),E136*(1-J$34)))+M136</f>
        <v>16975.094274625</v>
      </c>
    </row>
    <row r="137" spans="1:27" x14ac:dyDescent="0.25">
      <c r="A137" s="98">
        <f>EDATE($C$8,62)</f>
        <v>45239</v>
      </c>
      <c r="B137" s="99">
        <f>EDATE($C$8,63)-1</f>
        <v>45268</v>
      </c>
      <c r="C137" s="92">
        <f t="shared" si="10"/>
        <v>63</v>
      </c>
      <c r="D137" s="100">
        <f t="shared" si="13"/>
        <v>6</v>
      </c>
      <c r="E137" s="101">
        <f t="shared" si="14"/>
        <v>11592.740742999998</v>
      </c>
      <c r="F137" s="94">
        <f t="shared" si="11"/>
        <v>11592.740742999998</v>
      </c>
      <c r="G137" s="95">
        <f t="shared" si="12"/>
        <v>0</v>
      </c>
      <c r="H137" s="94">
        <f t="shared" si="15"/>
        <v>4347.277778624999</v>
      </c>
      <c r="I137" s="94">
        <f t="shared" si="16"/>
        <v>2173.6388893124995</v>
      </c>
      <c r="J137" s="94">
        <f t="shared" si="17"/>
        <v>3622.7314821874993</v>
      </c>
      <c r="K137" s="94">
        <f t="shared" si="18"/>
        <v>690.05050200000005</v>
      </c>
      <c r="L137" s="94">
        <f t="shared" si="19"/>
        <v>345.02525100000003</v>
      </c>
      <c r="M137" s="94">
        <f t="shared" si="7"/>
        <v>11178.723903124999</v>
      </c>
      <c r="N137" s="101">
        <f t="shared" si="20"/>
        <v>22771.464646124998</v>
      </c>
      <c r="O137" s="102">
        <f t="shared" si="9"/>
        <v>1.5180976430749999</v>
      </c>
      <c r="P137" s="101">
        <f>MAX(SUM(N137:N198)+S137,0)</f>
        <v>1430254.5073671648</v>
      </c>
      <c r="Q137" s="101">
        <f>SUM(F137:F198)</f>
        <v>728822.90248392895</v>
      </c>
      <c r="R137" s="101">
        <f>SUM(M137:M198)</f>
        <v>701431.60488323343</v>
      </c>
      <c r="S137" s="103">
        <f>SUMPRODUCT(($C$55:$C$67)*($D$55:$D$67&gt;=$A137))</f>
        <v>0</v>
      </c>
      <c r="T137" s="150">
        <f>IF(C137&gt;$C$10,0,IF(AND($C$38&gt;0,A137&gt;=$C$38,EOMONTH(A137,0)&lt;=$C$39),E137*(1-$C$40)*(1-G$15),E137*(1-G$15)))+M137</f>
        <v>21612.190571824998</v>
      </c>
      <c r="U137" s="150">
        <f>IF(C137&gt;$C$10,0,IF(AND($C$38&gt;0,A137&gt;=$C$38,EOMONTH(A137,0)&lt;=$C$39),E137*(1-$C$40)*(1-H$15),E137*(1-H$15)))+M137</f>
        <v>20452.916497524999</v>
      </c>
      <c r="V137" s="150">
        <f>IF(C137&gt;$C$10,0,IF(AND($C$38&gt;0,A137&gt;=$C$38,EOMONTH(A137,0)&lt;=$C$39),E137*(1-$C$40)*(1-I$15),E137*(1-I$15)))+M137</f>
        <v>19293.642423224999</v>
      </c>
      <c r="W137" s="181">
        <f>IF(C137&gt;$C$10,0,IF(AND($C$38&gt;0,A137&gt;=$C$38,EOMONTH(A137,0)&lt;=$C$39),E137*(1-$C$40)*(1-F$34),E137*(1-F$34)))+M137</f>
        <v>22771.464646124998</v>
      </c>
      <c r="X137" s="179">
        <f>IF(C137&gt;$C$10,0,IF(AND($C$38&gt;0,A137&gt;=$C$38,EOMONTH(A137,0)&lt;=$C$39),E137*(1-$C$40)*(1-G$34),E137*(1-G$34)))+M137</f>
        <v>20452.916497524999</v>
      </c>
      <c r="Y137" s="178">
        <f>IF(C137&gt;$C$10,0,IF(AND($C$38&gt;0,A137&gt;=$C$38,EOMONTH(A137,0)&lt;=$C$39),E137*(1-$C$40)*(1-H$34),E137*(1-H$34)))+M137</f>
        <v>19293.642423224999</v>
      </c>
      <c r="Z137" s="179">
        <f>IF(C137&gt;$C$10,0,IF(AND($C$38&gt;0,A137&gt;=$C$38,EOMONTH(A137,0)&lt;=$C$39),E137*(1-$C$40)*(1-I$34),E137*(1-I$34)))+M137</f>
        <v>18134.368348924996</v>
      </c>
      <c r="AA137" s="180">
        <f>IF(C137&gt;$C$10,0,IF(AND($C$38&gt;0,A137&gt;=$C$38,EOMONTH(A137,0)&lt;=$C$39),E137*(1-$C$40)*(1-J$34),E137*(1-J$34)))+M137</f>
        <v>16975.094274625</v>
      </c>
    </row>
    <row r="138" spans="1:27" x14ac:dyDescent="0.25">
      <c r="A138" s="104">
        <f>EDATE($C$8,63)</f>
        <v>45269</v>
      </c>
      <c r="B138" s="105">
        <f>EDATE($C$8,64)-1</f>
        <v>45299</v>
      </c>
      <c r="C138" s="92">
        <f t="shared" si="10"/>
        <v>64</v>
      </c>
      <c r="D138" s="106">
        <f t="shared" si="13"/>
        <v>6</v>
      </c>
      <c r="E138" s="107">
        <f t="shared" si="14"/>
        <v>11592.740742999998</v>
      </c>
      <c r="F138" s="94">
        <f t="shared" si="11"/>
        <v>11592.740742999998</v>
      </c>
      <c r="G138" s="95">
        <f t="shared" si="12"/>
        <v>0</v>
      </c>
      <c r="H138" s="94">
        <f t="shared" si="15"/>
        <v>4347.277778624999</v>
      </c>
      <c r="I138" s="94">
        <f t="shared" si="16"/>
        <v>2173.6388893124995</v>
      </c>
      <c r="J138" s="94">
        <f t="shared" si="17"/>
        <v>3622.7314821874993</v>
      </c>
      <c r="K138" s="94">
        <f t="shared" si="18"/>
        <v>690.05050200000005</v>
      </c>
      <c r="L138" s="94">
        <f t="shared" si="19"/>
        <v>345.02525100000003</v>
      </c>
      <c r="M138" s="94">
        <f t="shared" si="7"/>
        <v>11178.723903124999</v>
      </c>
      <c r="N138" s="107">
        <f t="shared" si="20"/>
        <v>22771.464646124998</v>
      </c>
      <c r="O138" s="108">
        <f t="shared" si="9"/>
        <v>1.5180976430749999</v>
      </c>
      <c r="P138" s="107">
        <f>MAX(SUM(N138:N198)+S138,0)</f>
        <v>1407483.0427210396</v>
      </c>
      <c r="Q138" s="107">
        <f>SUM(F138:F198)</f>
        <v>717230.161740929</v>
      </c>
      <c r="R138" s="107">
        <f>SUM(M138:M198)</f>
        <v>690252.88098010852</v>
      </c>
      <c r="S138" s="109">
        <f>SUMPRODUCT(($C$55:$C$67)*($D$55:$D$67&gt;=$A138))</f>
        <v>0</v>
      </c>
      <c r="T138" s="150">
        <f>IF(C138&gt;$C$10,0,IF(AND($C$38&gt;0,A138&gt;=$C$38,EOMONTH(A138,0)&lt;=$C$39),E138*(1-$C$40)*(1-G$15),E138*(1-G$15)))+M138</f>
        <v>21612.190571824998</v>
      </c>
      <c r="U138" s="150">
        <f>IF(C138&gt;$C$10,0,IF(AND($C$38&gt;0,A138&gt;=$C$38,EOMONTH(A138,0)&lt;=$C$39),E138*(1-$C$40)*(1-H$15),E138*(1-H$15)))+M138</f>
        <v>20452.916497524999</v>
      </c>
      <c r="V138" s="150">
        <f>IF(C138&gt;$C$10,0,IF(AND($C$38&gt;0,A138&gt;=$C$38,EOMONTH(A138,0)&lt;=$C$39),E138*(1-$C$40)*(1-I$15),E138*(1-I$15)))+M138</f>
        <v>19293.642423224999</v>
      </c>
      <c r="W138" s="181">
        <f>IF(C138&gt;$C$10,0,IF(AND($C$38&gt;0,A138&gt;=$C$38,EOMONTH(A138,0)&lt;=$C$39),E138*(1-$C$40)*(1-F$34),E138*(1-F$34)))+M138</f>
        <v>22771.464646124998</v>
      </c>
      <c r="X138" s="179">
        <f>IF(C138&gt;$C$10,0,IF(AND($C$38&gt;0,A138&gt;=$C$38,EOMONTH(A138,0)&lt;=$C$39),E138*(1-$C$40)*(1-G$34),E138*(1-G$34)))+M138</f>
        <v>20452.916497524999</v>
      </c>
      <c r="Y138" s="178">
        <f>IF(C138&gt;$C$10,0,IF(AND($C$38&gt;0,A138&gt;=$C$38,EOMONTH(A138,0)&lt;=$C$39),E138*(1-$C$40)*(1-H$34),E138*(1-H$34)))+M138</f>
        <v>19293.642423224999</v>
      </c>
      <c r="Z138" s="179">
        <f>IF(C138&gt;$C$10,0,IF(AND($C$38&gt;0,A138&gt;=$C$38,EOMONTH(A138,0)&lt;=$C$39),E138*(1-$C$40)*(1-I$34),E138*(1-I$34)))+M138</f>
        <v>18134.368348924996</v>
      </c>
      <c r="AA138" s="180">
        <f>IF(C138&gt;$C$10,0,IF(AND($C$38&gt;0,A138&gt;=$C$38,EOMONTH(A138,0)&lt;=$C$39),E138*(1-$C$40)*(1-J$34),E138*(1-J$34)))+M138</f>
        <v>16975.094274625</v>
      </c>
    </row>
    <row r="139" spans="1:27" x14ac:dyDescent="0.25">
      <c r="A139" s="98">
        <f>EDATE($C$8,64)</f>
        <v>45300</v>
      </c>
      <c r="B139" s="99">
        <f>EDATE($C$8,65)-1</f>
        <v>45330</v>
      </c>
      <c r="C139" s="92">
        <f t="shared" si="10"/>
        <v>65</v>
      </c>
      <c r="D139" s="100">
        <f t="shared" ref="D139:D170" si="21">INT((C139-1)/12)+1</f>
        <v>6</v>
      </c>
      <c r="E139" s="101">
        <f t="shared" ref="E139:E170" si="22">IF(C139&gt;$C$10,0,$C$21*(1+$C$29)^(D139-1))</f>
        <v>11592.740742999998</v>
      </c>
      <c r="F139" s="94">
        <f t="shared" si="11"/>
        <v>11592.740742999998</v>
      </c>
      <c r="G139" s="95">
        <f t="shared" si="12"/>
        <v>0</v>
      </c>
      <c r="H139" s="94">
        <f t="shared" ref="H139:H170" si="23">IF(C139&gt;$C$10,0,$C$24*(1+$C$30)^(D139-1))</f>
        <v>4347.277778624999</v>
      </c>
      <c r="I139" s="94">
        <f t="shared" ref="I139:I170" si="24">IF(C139&gt;$C$10,0,$C$22*(1+$C$31)^(D139-1))</f>
        <v>2173.6388893124995</v>
      </c>
      <c r="J139" s="94">
        <f t="shared" ref="J139:J170" si="25">IF(C139&gt;$C$10,0,$C$23*(1+$C$32)^(D139-1))</f>
        <v>3622.7314821874993</v>
      </c>
      <c r="K139" s="94">
        <f t="shared" ref="K139:K170" si="26">IF(C139&gt;$C$10,0,$C$25*(1+$C$33)^(D139-1))</f>
        <v>690.05050200000005</v>
      </c>
      <c r="L139" s="94">
        <f t="shared" ref="L139:L170" si="27">IF(C139&gt;$C$10,0,$C$26*(1+$C$34)^(D139-1))</f>
        <v>345.02525100000003</v>
      </c>
      <c r="M139" s="94">
        <f t="shared" ref="M139:M198" si="28">H139+I139+J139+K139+L139</f>
        <v>11178.723903124999</v>
      </c>
      <c r="N139" s="101">
        <f t="shared" ref="N139:N170" si="29">F139+M139</f>
        <v>22771.464646124998</v>
      </c>
      <c r="O139" s="102">
        <f t="shared" ref="O139:O198" si="30">IF($C$7=0,0,N139/$C$7)</f>
        <v>1.5180976430749999</v>
      </c>
      <c r="P139" s="101">
        <f>MAX(SUM(N139:N198)+S139,0)</f>
        <v>1384711.5780749146</v>
      </c>
      <c r="Q139" s="101">
        <f>SUM(F139:F198)</f>
        <v>705637.42099792906</v>
      </c>
      <c r="R139" s="101">
        <f>SUM(M139:M198)</f>
        <v>679074.1570769836</v>
      </c>
      <c r="S139" s="103">
        <f>SUMPRODUCT(($C$55:$C$67)*($D$55:$D$67&gt;=$A139))</f>
        <v>0</v>
      </c>
      <c r="T139" s="150">
        <f>IF(C139&gt;$C$10,0,IF(AND($C$38&gt;0,A139&gt;=$C$38,EOMONTH(A139,0)&lt;=$C$39),E139*(1-$C$40)*(1-G$15),E139*(1-G$15)))+M139</f>
        <v>21612.190571824998</v>
      </c>
      <c r="U139" s="150">
        <f>IF(C139&gt;$C$10,0,IF(AND($C$38&gt;0,A139&gt;=$C$38,EOMONTH(A139,0)&lt;=$C$39),E139*(1-$C$40)*(1-H$15),E139*(1-H$15)))+M139</f>
        <v>20452.916497524999</v>
      </c>
      <c r="V139" s="150">
        <f>IF(C139&gt;$C$10,0,IF(AND($C$38&gt;0,A139&gt;=$C$38,EOMONTH(A139,0)&lt;=$C$39),E139*(1-$C$40)*(1-I$15),E139*(1-I$15)))+M139</f>
        <v>19293.642423224999</v>
      </c>
      <c r="W139" s="181">
        <f>IF(C139&gt;$C$10,0,IF(AND($C$38&gt;0,A139&gt;=$C$38,EOMONTH(A139,0)&lt;=$C$39),E139*(1-$C$40)*(1-F$34),E139*(1-F$34)))+M139</f>
        <v>22771.464646124998</v>
      </c>
      <c r="X139" s="179">
        <f>IF(C139&gt;$C$10,0,IF(AND($C$38&gt;0,A139&gt;=$C$38,EOMONTH(A139,0)&lt;=$C$39),E139*(1-$C$40)*(1-G$34),E139*(1-G$34)))+M139</f>
        <v>20452.916497524999</v>
      </c>
      <c r="Y139" s="178">
        <f>IF(C139&gt;$C$10,0,IF(AND($C$38&gt;0,A139&gt;=$C$38,EOMONTH(A139,0)&lt;=$C$39),E139*(1-$C$40)*(1-H$34),E139*(1-H$34)))+M139</f>
        <v>19293.642423224999</v>
      </c>
      <c r="Z139" s="179">
        <f>IF(C139&gt;$C$10,0,IF(AND($C$38&gt;0,A139&gt;=$C$38,EOMONTH(A139,0)&lt;=$C$39),E139*(1-$C$40)*(1-I$34),E139*(1-I$34)))+M139</f>
        <v>18134.368348924996</v>
      </c>
      <c r="AA139" s="180">
        <f>IF(C139&gt;$C$10,0,IF(AND($C$38&gt;0,A139&gt;=$C$38,EOMONTH(A139,0)&lt;=$C$39),E139*(1-$C$40)*(1-J$34),E139*(1-J$34)))+M139</f>
        <v>16975.094274625</v>
      </c>
    </row>
    <row r="140" spans="1:27" x14ac:dyDescent="0.25">
      <c r="A140" s="104">
        <f>EDATE($C$8,65)</f>
        <v>45331</v>
      </c>
      <c r="B140" s="105">
        <f>EDATE($C$8,66)-1</f>
        <v>45359</v>
      </c>
      <c r="C140" s="92">
        <f t="shared" ref="C140:C198" si="31">ROW()-ROW($C$74)</f>
        <v>66</v>
      </c>
      <c r="D140" s="106">
        <f t="shared" si="21"/>
        <v>6</v>
      </c>
      <c r="E140" s="107">
        <f t="shared" si="22"/>
        <v>11592.740742999998</v>
      </c>
      <c r="F140" s="94">
        <f t="shared" ref="F140:F198" si="32">IF(C140&gt;$C$10,0,IF(AND($C$38&gt;0,A140&gt;=$C$38,EOMONTH(A140,0)&lt;=$C$39),E140*(1-$C$40),E140))</f>
        <v>11592.740742999998</v>
      </c>
      <c r="G140" s="95">
        <f t="shared" ref="G140:G198" si="33">IF(C140&gt;$C$10,0,IF(AND($C$38&gt;0,A140&gt;=$C$38,EOMONTH(A140,0)&lt;=$C$39),-E140*$C$40,0))</f>
        <v>0</v>
      </c>
      <c r="H140" s="94">
        <f t="shared" si="23"/>
        <v>4347.277778624999</v>
      </c>
      <c r="I140" s="94">
        <f t="shared" si="24"/>
        <v>2173.6388893124995</v>
      </c>
      <c r="J140" s="94">
        <f t="shared" si="25"/>
        <v>3622.7314821874993</v>
      </c>
      <c r="K140" s="94">
        <f t="shared" si="26"/>
        <v>690.05050200000005</v>
      </c>
      <c r="L140" s="94">
        <f t="shared" si="27"/>
        <v>345.02525100000003</v>
      </c>
      <c r="M140" s="94">
        <f t="shared" si="28"/>
        <v>11178.723903124999</v>
      </c>
      <c r="N140" s="107">
        <f t="shared" si="29"/>
        <v>22771.464646124998</v>
      </c>
      <c r="O140" s="108">
        <f t="shared" si="30"/>
        <v>1.5180976430749999</v>
      </c>
      <c r="P140" s="107">
        <f>MAX(SUM(N140:N198)+S140,0)</f>
        <v>1361940.1134287894</v>
      </c>
      <c r="Q140" s="107">
        <f>SUM(F140:F198)</f>
        <v>694044.68025492912</v>
      </c>
      <c r="R140" s="107">
        <f>SUM(M140:M198)</f>
        <v>667895.43317385868</v>
      </c>
      <c r="S140" s="109">
        <f>SUMPRODUCT(($C$55:$C$67)*($D$55:$D$67&gt;=$A140))</f>
        <v>0</v>
      </c>
      <c r="T140" s="150">
        <f>IF(C140&gt;$C$10,0,IF(AND($C$38&gt;0,A140&gt;=$C$38,EOMONTH(A140,0)&lt;=$C$39),E140*(1-$C$40)*(1-G$15),E140*(1-G$15)))+M140</f>
        <v>21612.190571824998</v>
      </c>
      <c r="U140" s="150">
        <f>IF(C140&gt;$C$10,0,IF(AND($C$38&gt;0,A140&gt;=$C$38,EOMONTH(A140,0)&lt;=$C$39),E140*(1-$C$40)*(1-H$15),E140*(1-H$15)))+M140</f>
        <v>20452.916497524999</v>
      </c>
      <c r="V140" s="150">
        <f>IF(C140&gt;$C$10,0,IF(AND($C$38&gt;0,A140&gt;=$C$38,EOMONTH(A140,0)&lt;=$C$39),E140*(1-$C$40)*(1-I$15),E140*(1-I$15)))+M140</f>
        <v>19293.642423224999</v>
      </c>
      <c r="W140" s="181">
        <f>IF(C140&gt;$C$10,0,IF(AND($C$38&gt;0,A140&gt;=$C$38,EOMONTH(A140,0)&lt;=$C$39),E140*(1-$C$40)*(1-F$34),E140*(1-F$34)))+M140</f>
        <v>22771.464646124998</v>
      </c>
      <c r="X140" s="179">
        <f>IF(C140&gt;$C$10,0,IF(AND($C$38&gt;0,A140&gt;=$C$38,EOMONTH(A140,0)&lt;=$C$39),E140*(1-$C$40)*(1-G$34),E140*(1-G$34)))+M140</f>
        <v>20452.916497524999</v>
      </c>
      <c r="Y140" s="178">
        <f>IF(C140&gt;$C$10,0,IF(AND($C$38&gt;0,A140&gt;=$C$38,EOMONTH(A140,0)&lt;=$C$39),E140*(1-$C$40)*(1-H$34),E140*(1-H$34)))+M140</f>
        <v>19293.642423224999</v>
      </c>
      <c r="Z140" s="179">
        <f>IF(C140&gt;$C$10,0,IF(AND($C$38&gt;0,A140&gt;=$C$38,EOMONTH(A140,0)&lt;=$C$39),E140*(1-$C$40)*(1-I$34),E140*(1-I$34)))+M140</f>
        <v>18134.368348924996</v>
      </c>
      <c r="AA140" s="180">
        <f>IF(C140&gt;$C$10,0,IF(AND($C$38&gt;0,A140&gt;=$C$38,EOMONTH(A140,0)&lt;=$C$39),E140*(1-$C$40)*(1-J$34),E140*(1-J$34)))+M140</f>
        <v>16975.094274625</v>
      </c>
    </row>
    <row r="141" spans="1:27" x14ac:dyDescent="0.25">
      <c r="A141" s="98">
        <f>EDATE($C$8,66)</f>
        <v>45360</v>
      </c>
      <c r="B141" s="99">
        <f>EDATE($C$8,67)-1</f>
        <v>45390</v>
      </c>
      <c r="C141" s="92">
        <f t="shared" si="31"/>
        <v>67</v>
      </c>
      <c r="D141" s="100">
        <f t="shared" si="21"/>
        <v>6</v>
      </c>
      <c r="E141" s="101">
        <f t="shared" si="22"/>
        <v>11592.740742999998</v>
      </c>
      <c r="F141" s="94">
        <f t="shared" si="32"/>
        <v>11592.740742999998</v>
      </c>
      <c r="G141" s="95">
        <f t="shared" si="33"/>
        <v>0</v>
      </c>
      <c r="H141" s="94">
        <f t="shared" si="23"/>
        <v>4347.277778624999</v>
      </c>
      <c r="I141" s="94">
        <f t="shared" si="24"/>
        <v>2173.6388893124995</v>
      </c>
      <c r="J141" s="94">
        <f t="shared" si="25"/>
        <v>3622.7314821874993</v>
      </c>
      <c r="K141" s="94">
        <f t="shared" si="26"/>
        <v>690.05050200000005</v>
      </c>
      <c r="L141" s="94">
        <f t="shared" si="27"/>
        <v>345.02525100000003</v>
      </c>
      <c r="M141" s="94">
        <f t="shared" si="28"/>
        <v>11178.723903124999</v>
      </c>
      <c r="N141" s="101">
        <f t="shared" si="29"/>
        <v>22771.464646124998</v>
      </c>
      <c r="O141" s="102">
        <f t="shared" si="30"/>
        <v>1.5180976430749999</v>
      </c>
      <c r="P141" s="101">
        <f>MAX(SUM(N141:N198)+S141,0)</f>
        <v>1339168.6487826644</v>
      </c>
      <c r="Q141" s="101">
        <f>SUM(F141:F198)</f>
        <v>682451.93951192917</v>
      </c>
      <c r="R141" s="101">
        <f>SUM(M141:M198)</f>
        <v>656716.70927073364</v>
      </c>
      <c r="S141" s="103">
        <f>SUMPRODUCT(($C$55:$C$67)*($D$55:$D$67&gt;=$A141))</f>
        <v>0</v>
      </c>
      <c r="T141" s="150">
        <f>IF(C141&gt;$C$10,0,IF(AND($C$38&gt;0,A141&gt;=$C$38,EOMONTH(A141,0)&lt;=$C$39),E141*(1-$C$40)*(1-G$15),E141*(1-G$15)))+M141</f>
        <v>21612.190571824998</v>
      </c>
      <c r="U141" s="150">
        <f>IF(C141&gt;$C$10,0,IF(AND($C$38&gt;0,A141&gt;=$C$38,EOMONTH(A141,0)&lt;=$C$39),E141*(1-$C$40)*(1-H$15),E141*(1-H$15)))+M141</f>
        <v>20452.916497524999</v>
      </c>
      <c r="V141" s="150">
        <f>IF(C141&gt;$C$10,0,IF(AND($C$38&gt;0,A141&gt;=$C$38,EOMONTH(A141,0)&lt;=$C$39),E141*(1-$C$40)*(1-I$15),E141*(1-I$15)))+M141</f>
        <v>19293.642423224999</v>
      </c>
      <c r="W141" s="181">
        <f>IF(C141&gt;$C$10,0,IF(AND($C$38&gt;0,A141&gt;=$C$38,EOMONTH(A141,0)&lt;=$C$39),E141*(1-$C$40)*(1-F$34),E141*(1-F$34)))+M141</f>
        <v>22771.464646124998</v>
      </c>
      <c r="X141" s="179">
        <f>IF(C141&gt;$C$10,0,IF(AND($C$38&gt;0,A141&gt;=$C$38,EOMONTH(A141,0)&lt;=$C$39),E141*(1-$C$40)*(1-G$34),E141*(1-G$34)))+M141</f>
        <v>20452.916497524999</v>
      </c>
      <c r="Y141" s="178">
        <f>IF(C141&gt;$C$10,0,IF(AND($C$38&gt;0,A141&gt;=$C$38,EOMONTH(A141,0)&lt;=$C$39),E141*(1-$C$40)*(1-H$34),E141*(1-H$34)))+M141</f>
        <v>19293.642423224999</v>
      </c>
      <c r="Z141" s="179">
        <f>IF(C141&gt;$C$10,0,IF(AND($C$38&gt;0,A141&gt;=$C$38,EOMONTH(A141,0)&lt;=$C$39),E141*(1-$C$40)*(1-I$34),E141*(1-I$34)))+M141</f>
        <v>18134.368348924996</v>
      </c>
      <c r="AA141" s="180">
        <f>IF(C141&gt;$C$10,0,IF(AND($C$38&gt;0,A141&gt;=$C$38,EOMONTH(A141,0)&lt;=$C$39),E141*(1-$C$40)*(1-J$34),E141*(1-J$34)))+M141</f>
        <v>16975.094274625</v>
      </c>
    </row>
    <row r="142" spans="1:27" x14ac:dyDescent="0.25">
      <c r="A142" s="104">
        <f>EDATE($C$8,67)</f>
        <v>45391</v>
      </c>
      <c r="B142" s="105">
        <f>EDATE($C$8,68)-1</f>
        <v>45420</v>
      </c>
      <c r="C142" s="92">
        <f t="shared" si="31"/>
        <v>68</v>
      </c>
      <c r="D142" s="106">
        <f t="shared" si="21"/>
        <v>6</v>
      </c>
      <c r="E142" s="107">
        <f t="shared" si="22"/>
        <v>11592.740742999998</v>
      </c>
      <c r="F142" s="94">
        <f t="shared" si="32"/>
        <v>11592.740742999998</v>
      </c>
      <c r="G142" s="95">
        <f t="shared" si="33"/>
        <v>0</v>
      </c>
      <c r="H142" s="94">
        <f t="shared" si="23"/>
        <v>4347.277778624999</v>
      </c>
      <c r="I142" s="94">
        <f t="shared" si="24"/>
        <v>2173.6388893124995</v>
      </c>
      <c r="J142" s="94">
        <f t="shared" si="25"/>
        <v>3622.7314821874993</v>
      </c>
      <c r="K142" s="94">
        <f t="shared" si="26"/>
        <v>690.05050200000005</v>
      </c>
      <c r="L142" s="94">
        <f t="shared" si="27"/>
        <v>345.02525100000003</v>
      </c>
      <c r="M142" s="94">
        <f t="shared" si="28"/>
        <v>11178.723903124999</v>
      </c>
      <c r="N142" s="107">
        <f t="shared" si="29"/>
        <v>22771.464646124998</v>
      </c>
      <c r="O142" s="108">
        <f t="shared" si="30"/>
        <v>1.5180976430749999</v>
      </c>
      <c r="P142" s="107">
        <f>MAX(SUM(N142:N198)+S142,0)</f>
        <v>1316397.1841365392</v>
      </c>
      <c r="Q142" s="107">
        <f>SUM(F142:F198)</f>
        <v>670859.19876892911</v>
      </c>
      <c r="R142" s="107">
        <f>SUM(M142:M198)</f>
        <v>645537.98536760872</v>
      </c>
      <c r="S142" s="109">
        <f>SUMPRODUCT(($C$55:$C$67)*($D$55:$D$67&gt;=$A142))</f>
        <v>0</v>
      </c>
      <c r="T142" s="150">
        <f>IF(C142&gt;$C$10,0,IF(AND($C$38&gt;0,A142&gt;=$C$38,EOMONTH(A142,0)&lt;=$C$39),E142*(1-$C$40)*(1-G$15),E142*(1-G$15)))+M142</f>
        <v>21612.190571824998</v>
      </c>
      <c r="U142" s="150">
        <f>IF(C142&gt;$C$10,0,IF(AND($C$38&gt;0,A142&gt;=$C$38,EOMONTH(A142,0)&lt;=$C$39),E142*(1-$C$40)*(1-H$15),E142*(1-H$15)))+M142</f>
        <v>20452.916497524999</v>
      </c>
      <c r="V142" s="150">
        <f>IF(C142&gt;$C$10,0,IF(AND($C$38&gt;0,A142&gt;=$C$38,EOMONTH(A142,0)&lt;=$C$39),E142*(1-$C$40)*(1-I$15),E142*(1-I$15)))+M142</f>
        <v>19293.642423224999</v>
      </c>
      <c r="W142" s="181">
        <f>IF(C142&gt;$C$10,0,IF(AND($C$38&gt;0,A142&gt;=$C$38,EOMONTH(A142,0)&lt;=$C$39),E142*(1-$C$40)*(1-F$34),E142*(1-F$34)))+M142</f>
        <v>22771.464646124998</v>
      </c>
      <c r="X142" s="179">
        <f>IF(C142&gt;$C$10,0,IF(AND($C$38&gt;0,A142&gt;=$C$38,EOMONTH(A142,0)&lt;=$C$39),E142*(1-$C$40)*(1-G$34),E142*(1-G$34)))+M142</f>
        <v>20452.916497524999</v>
      </c>
      <c r="Y142" s="178">
        <f>IF(C142&gt;$C$10,0,IF(AND($C$38&gt;0,A142&gt;=$C$38,EOMONTH(A142,0)&lt;=$C$39),E142*(1-$C$40)*(1-H$34),E142*(1-H$34)))+M142</f>
        <v>19293.642423224999</v>
      </c>
      <c r="Z142" s="179">
        <f>IF(C142&gt;$C$10,0,IF(AND($C$38&gt;0,A142&gt;=$C$38,EOMONTH(A142,0)&lt;=$C$39),E142*(1-$C$40)*(1-I$34),E142*(1-I$34)))+M142</f>
        <v>18134.368348924996</v>
      </c>
      <c r="AA142" s="180">
        <f>IF(C142&gt;$C$10,0,IF(AND($C$38&gt;0,A142&gt;=$C$38,EOMONTH(A142,0)&lt;=$C$39),E142*(1-$C$40)*(1-J$34),E142*(1-J$34)))+M142</f>
        <v>16975.094274625</v>
      </c>
    </row>
    <row r="143" spans="1:27" x14ac:dyDescent="0.25">
      <c r="A143" s="98">
        <f>EDATE($C$8,68)</f>
        <v>45421</v>
      </c>
      <c r="B143" s="99">
        <f>EDATE($C$8,69)-1</f>
        <v>45451</v>
      </c>
      <c r="C143" s="92">
        <f t="shared" si="31"/>
        <v>69</v>
      </c>
      <c r="D143" s="100">
        <f t="shared" si="21"/>
        <v>6</v>
      </c>
      <c r="E143" s="101">
        <f t="shared" si="22"/>
        <v>11592.740742999998</v>
      </c>
      <c r="F143" s="94">
        <f t="shared" si="32"/>
        <v>11592.740742999998</v>
      </c>
      <c r="G143" s="95">
        <f t="shared" si="33"/>
        <v>0</v>
      </c>
      <c r="H143" s="94">
        <f t="shared" si="23"/>
        <v>4347.277778624999</v>
      </c>
      <c r="I143" s="94">
        <f t="shared" si="24"/>
        <v>2173.6388893124995</v>
      </c>
      <c r="J143" s="94">
        <f t="shared" si="25"/>
        <v>3622.7314821874993</v>
      </c>
      <c r="K143" s="94">
        <f t="shared" si="26"/>
        <v>690.05050200000005</v>
      </c>
      <c r="L143" s="94">
        <f t="shared" si="27"/>
        <v>345.02525100000003</v>
      </c>
      <c r="M143" s="94">
        <f t="shared" si="28"/>
        <v>11178.723903124999</v>
      </c>
      <c r="N143" s="101">
        <f t="shared" si="29"/>
        <v>22771.464646124998</v>
      </c>
      <c r="O143" s="102">
        <f t="shared" si="30"/>
        <v>1.5180976430749999</v>
      </c>
      <c r="P143" s="101">
        <f>MAX(SUM(N143:N198)+S143,0)</f>
        <v>1293625.719490414</v>
      </c>
      <c r="Q143" s="101">
        <f>SUM(F143:F198)</f>
        <v>659266.45802592917</v>
      </c>
      <c r="R143" s="101">
        <f>SUM(M143:M198)</f>
        <v>634359.2614644838</v>
      </c>
      <c r="S143" s="103">
        <f>SUMPRODUCT(($C$55:$C$67)*($D$55:$D$67&gt;=$A143))</f>
        <v>0</v>
      </c>
      <c r="T143" s="150">
        <f>IF(C143&gt;$C$10,0,IF(AND($C$38&gt;0,A143&gt;=$C$38,EOMONTH(A143,0)&lt;=$C$39),E143*(1-$C$40)*(1-G$15),E143*(1-G$15)))+M143</f>
        <v>21612.190571824998</v>
      </c>
      <c r="U143" s="150">
        <f>IF(C143&gt;$C$10,0,IF(AND($C$38&gt;0,A143&gt;=$C$38,EOMONTH(A143,0)&lt;=$C$39),E143*(1-$C$40)*(1-H$15),E143*(1-H$15)))+M143</f>
        <v>20452.916497524999</v>
      </c>
      <c r="V143" s="150">
        <f>IF(C143&gt;$C$10,0,IF(AND($C$38&gt;0,A143&gt;=$C$38,EOMONTH(A143,0)&lt;=$C$39),E143*(1-$C$40)*(1-I$15),E143*(1-I$15)))+M143</f>
        <v>19293.642423224999</v>
      </c>
      <c r="W143" s="181">
        <f>IF(C143&gt;$C$10,0,IF(AND($C$38&gt;0,A143&gt;=$C$38,EOMONTH(A143,0)&lt;=$C$39),E143*(1-$C$40)*(1-F$34),E143*(1-F$34)))+M143</f>
        <v>22771.464646124998</v>
      </c>
      <c r="X143" s="179">
        <f>IF(C143&gt;$C$10,0,IF(AND($C$38&gt;0,A143&gt;=$C$38,EOMONTH(A143,0)&lt;=$C$39),E143*(1-$C$40)*(1-G$34),E143*(1-G$34)))+M143</f>
        <v>20452.916497524999</v>
      </c>
      <c r="Y143" s="178">
        <f>IF(C143&gt;$C$10,0,IF(AND($C$38&gt;0,A143&gt;=$C$38,EOMONTH(A143,0)&lt;=$C$39),E143*(1-$C$40)*(1-H$34),E143*(1-H$34)))+M143</f>
        <v>19293.642423224999</v>
      </c>
      <c r="Z143" s="179">
        <f>IF(C143&gt;$C$10,0,IF(AND($C$38&gt;0,A143&gt;=$C$38,EOMONTH(A143,0)&lt;=$C$39),E143*(1-$C$40)*(1-I$34),E143*(1-I$34)))+M143</f>
        <v>18134.368348924996</v>
      </c>
      <c r="AA143" s="180">
        <f>IF(C143&gt;$C$10,0,IF(AND($C$38&gt;0,A143&gt;=$C$38,EOMONTH(A143,0)&lt;=$C$39),E143*(1-$C$40)*(1-J$34),E143*(1-J$34)))+M143</f>
        <v>16975.094274625</v>
      </c>
    </row>
    <row r="144" spans="1:27" x14ac:dyDescent="0.25">
      <c r="A144" s="104">
        <f>EDATE($C$8,69)</f>
        <v>45452</v>
      </c>
      <c r="B144" s="105">
        <f>EDATE($C$8,70)-1</f>
        <v>45481</v>
      </c>
      <c r="C144" s="92">
        <f t="shared" si="31"/>
        <v>70</v>
      </c>
      <c r="D144" s="106">
        <f t="shared" si="21"/>
        <v>6</v>
      </c>
      <c r="E144" s="107">
        <f t="shared" si="22"/>
        <v>11592.740742999998</v>
      </c>
      <c r="F144" s="94">
        <f t="shared" si="32"/>
        <v>11592.740742999998</v>
      </c>
      <c r="G144" s="95">
        <f t="shared" si="33"/>
        <v>0</v>
      </c>
      <c r="H144" s="94">
        <f t="shared" si="23"/>
        <v>4347.277778624999</v>
      </c>
      <c r="I144" s="94">
        <f t="shared" si="24"/>
        <v>2173.6388893124995</v>
      </c>
      <c r="J144" s="94">
        <f t="shared" si="25"/>
        <v>3622.7314821874993</v>
      </c>
      <c r="K144" s="94">
        <f t="shared" si="26"/>
        <v>690.05050200000005</v>
      </c>
      <c r="L144" s="94">
        <f t="shared" si="27"/>
        <v>345.02525100000003</v>
      </c>
      <c r="M144" s="94">
        <f t="shared" si="28"/>
        <v>11178.723903124999</v>
      </c>
      <c r="N144" s="107">
        <f t="shared" si="29"/>
        <v>22771.464646124998</v>
      </c>
      <c r="O144" s="108">
        <f t="shared" si="30"/>
        <v>1.5180976430749999</v>
      </c>
      <c r="P144" s="107">
        <f>MAX(SUM(N144:N198)+S144,0)</f>
        <v>1270854.2548442888</v>
      </c>
      <c r="Q144" s="107">
        <f>SUM(F144:F198)</f>
        <v>647673.71728292911</v>
      </c>
      <c r="R144" s="107">
        <f>SUM(M144:M198)</f>
        <v>623180.53756135888</v>
      </c>
      <c r="S144" s="109">
        <f>SUMPRODUCT(($C$55:$C$67)*($D$55:$D$67&gt;=$A144))</f>
        <v>0</v>
      </c>
      <c r="T144" s="150">
        <f>IF(C144&gt;$C$10,0,IF(AND($C$38&gt;0,A144&gt;=$C$38,EOMONTH(A144,0)&lt;=$C$39),E144*(1-$C$40)*(1-G$15),E144*(1-G$15)))+M144</f>
        <v>21612.190571824998</v>
      </c>
      <c r="U144" s="150">
        <f>IF(C144&gt;$C$10,0,IF(AND($C$38&gt;0,A144&gt;=$C$38,EOMONTH(A144,0)&lt;=$C$39),E144*(1-$C$40)*(1-H$15),E144*(1-H$15)))+M144</f>
        <v>20452.916497524999</v>
      </c>
      <c r="V144" s="150">
        <f>IF(C144&gt;$C$10,0,IF(AND($C$38&gt;0,A144&gt;=$C$38,EOMONTH(A144,0)&lt;=$C$39),E144*(1-$C$40)*(1-I$15),E144*(1-I$15)))+M144</f>
        <v>19293.642423224999</v>
      </c>
      <c r="W144" s="181">
        <f>IF(C144&gt;$C$10,0,IF(AND($C$38&gt;0,A144&gt;=$C$38,EOMONTH(A144,0)&lt;=$C$39),E144*(1-$C$40)*(1-F$34),E144*(1-F$34)))+M144</f>
        <v>22771.464646124998</v>
      </c>
      <c r="X144" s="179">
        <f>IF(C144&gt;$C$10,0,IF(AND($C$38&gt;0,A144&gt;=$C$38,EOMONTH(A144,0)&lt;=$C$39),E144*(1-$C$40)*(1-G$34),E144*(1-G$34)))+M144</f>
        <v>20452.916497524999</v>
      </c>
      <c r="Y144" s="178">
        <f>IF(C144&gt;$C$10,0,IF(AND($C$38&gt;0,A144&gt;=$C$38,EOMONTH(A144,0)&lt;=$C$39),E144*(1-$C$40)*(1-H$34),E144*(1-H$34)))+M144</f>
        <v>19293.642423224999</v>
      </c>
      <c r="Z144" s="179">
        <f>IF(C144&gt;$C$10,0,IF(AND($C$38&gt;0,A144&gt;=$C$38,EOMONTH(A144,0)&lt;=$C$39),E144*(1-$C$40)*(1-I$34),E144*(1-I$34)))+M144</f>
        <v>18134.368348924996</v>
      </c>
      <c r="AA144" s="180">
        <f>IF(C144&gt;$C$10,0,IF(AND($C$38&gt;0,A144&gt;=$C$38,EOMONTH(A144,0)&lt;=$C$39),E144*(1-$C$40)*(1-J$34),E144*(1-J$34)))+M144</f>
        <v>16975.094274625</v>
      </c>
    </row>
    <row r="145" spans="1:27" x14ac:dyDescent="0.25">
      <c r="A145" s="98">
        <f>EDATE($C$8,70)</f>
        <v>45482</v>
      </c>
      <c r="B145" s="99">
        <f>EDATE($C$8,71)-1</f>
        <v>45512</v>
      </c>
      <c r="C145" s="92">
        <f t="shared" si="31"/>
        <v>71</v>
      </c>
      <c r="D145" s="100">
        <f t="shared" si="21"/>
        <v>6</v>
      </c>
      <c r="E145" s="101">
        <f t="shared" si="22"/>
        <v>11592.740742999998</v>
      </c>
      <c r="F145" s="94">
        <f t="shared" si="32"/>
        <v>11592.740742999998</v>
      </c>
      <c r="G145" s="95">
        <f t="shared" si="33"/>
        <v>0</v>
      </c>
      <c r="H145" s="94">
        <f t="shared" si="23"/>
        <v>4347.277778624999</v>
      </c>
      <c r="I145" s="94">
        <f t="shared" si="24"/>
        <v>2173.6388893124995</v>
      </c>
      <c r="J145" s="94">
        <f t="shared" si="25"/>
        <v>3622.7314821874993</v>
      </c>
      <c r="K145" s="94">
        <f t="shared" si="26"/>
        <v>690.05050200000005</v>
      </c>
      <c r="L145" s="94">
        <f t="shared" si="27"/>
        <v>345.02525100000003</v>
      </c>
      <c r="M145" s="94">
        <f t="shared" si="28"/>
        <v>11178.723903124999</v>
      </c>
      <c r="N145" s="101">
        <f t="shared" si="29"/>
        <v>22771.464646124998</v>
      </c>
      <c r="O145" s="102">
        <f t="shared" si="30"/>
        <v>1.5180976430749999</v>
      </c>
      <c r="P145" s="101">
        <f>MAX(SUM(N145:N198)+S145,0)</f>
        <v>1248082.7901981636</v>
      </c>
      <c r="Q145" s="101">
        <f>SUM(F145:F198)</f>
        <v>636080.97653992916</v>
      </c>
      <c r="R145" s="101">
        <f>SUM(M145:M198)</f>
        <v>612001.81365823385</v>
      </c>
      <c r="S145" s="103">
        <f>SUMPRODUCT(($C$55:$C$67)*($D$55:$D$67&gt;=$A145))</f>
        <v>0</v>
      </c>
      <c r="T145" s="150">
        <f>IF(C145&gt;$C$10,0,IF(AND($C$38&gt;0,A145&gt;=$C$38,EOMONTH(A145,0)&lt;=$C$39),E145*(1-$C$40)*(1-G$15),E145*(1-G$15)))+M145</f>
        <v>21612.190571824998</v>
      </c>
      <c r="U145" s="150">
        <f>IF(C145&gt;$C$10,0,IF(AND($C$38&gt;0,A145&gt;=$C$38,EOMONTH(A145,0)&lt;=$C$39),E145*(1-$C$40)*(1-H$15),E145*(1-H$15)))+M145</f>
        <v>20452.916497524999</v>
      </c>
      <c r="V145" s="150">
        <f>IF(C145&gt;$C$10,0,IF(AND($C$38&gt;0,A145&gt;=$C$38,EOMONTH(A145,0)&lt;=$C$39),E145*(1-$C$40)*(1-I$15),E145*(1-I$15)))+M145</f>
        <v>19293.642423224999</v>
      </c>
      <c r="W145" s="181">
        <f>IF(C145&gt;$C$10,0,IF(AND($C$38&gt;0,A145&gt;=$C$38,EOMONTH(A145,0)&lt;=$C$39),E145*(1-$C$40)*(1-F$34),E145*(1-F$34)))+M145</f>
        <v>22771.464646124998</v>
      </c>
      <c r="X145" s="179">
        <f>IF(C145&gt;$C$10,0,IF(AND($C$38&gt;0,A145&gt;=$C$38,EOMONTH(A145,0)&lt;=$C$39),E145*(1-$C$40)*(1-G$34),E145*(1-G$34)))+M145</f>
        <v>20452.916497524999</v>
      </c>
      <c r="Y145" s="178">
        <f>IF(C145&gt;$C$10,0,IF(AND($C$38&gt;0,A145&gt;=$C$38,EOMONTH(A145,0)&lt;=$C$39),E145*(1-$C$40)*(1-H$34),E145*(1-H$34)))+M145</f>
        <v>19293.642423224999</v>
      </c>
      <c r="Z145" s="179">
        <f>IF(C145&gt;$C$10,0,IF(AND($C$38&gt;0,A145&gt;=$C$38,EOMONTH(A145,0)&lt;=$C$39),E145*(1-$C$40)*(1-I$34),E145*(1-I$34)))+M145</f>
        <v>18134.368348924996</v>
      </c>
      <c r="AA145" s="180">
        <f>IF(C145&gt;$C$10,0,IF(AND($C$38&gt;0,A145&gt;=$C$38,EOMONTH(A145,0)&lt;=$C$39),E145*(1-$C$40)*(1-J$34),E145*(1-J$34)))+M145</f>
        <v>16975.094274625</v>
      </c>
    </row>
    <row r="146" spans="1:27" x14ac:dyDescent="0.25">
      <c r="A146" s="104">
        <f>EDATE($C$8,71)</f>
        <v>45513</v>
      </c>
      <c r="B146" s="105">
        <f>EDATE($C$8,72)-1</f>
        <v>45543</v>
      </c>
      <c r="C146" s="92">
        <f t="shared" si="31"/>
        <v>72</v>
      </c>
      <c r="D146" s="106">
        <f t="shared" si="21"/>
        <v>6</v>
      </c>
      <c r="E146" s="107">
        <f t="shared" si="22"/>
        <v>11592.740742999998</v>
      </c>
      <c r="F146" s="94">
        <f t="shared" si="32"/>
        <v>11592.740742999998</v>
      </c>
      <c r="G146" s="95">
        <f t="shared" si="33"/>
        <v>0</v>
      </c>
      <c r="H146" s="94">
        <f t="shared" si="23"/>
        <v>4347.277778624999</v>
      </c>
      <c r="I146" s="94">
        <f t="shared" si="24"/>
        <v>2173.6388893124995</v>
      </c>
      <c r="J146" s="94">
        <f t="shared" si="25"/>
        <v>3622.7314821874993</v>
      </c>
      <c r="K146" s="94">
        <f t="shared" si="26"/>
        <v>690.05050200000005</v>
      </c>
      <c r="L146" s="94">
        <f t="shared" si="27"/>
        <v>345.02525100000003</v>
      </c>
      <c r="M146" s="94">
        <f t="shared" si="28"/>
        <v>11178.723903124999</v>
      </c>
      <c r="N146" s="107">
        <f t="shared" si="29"/>
        <v>22771.464646124998</v>
      </c>
      <c r="O146" s="108">
        <f t="shared" si="30"/>
        <v>1.5180976430749999</v>
      </c>
      <c r="P146" s="107">
        <f>MAX(SUM(N146:N198)+S146,0)</f>
        <v>1225311.3255520384</v>
      </c>
      <c r="Q146" s="107">
        <f>SUM(F146:F198)</f>
        <v>624488.2357969291</v>
      </c>
      <c r="R146" s="107">
        <f>SUM(M146:M198)</f>
        <v>600823.08975510893</v>
      </c>
      <c r="S146" s="109">
        <f>SUMPRODUCT(($C$55:$C$67)*($D$55:$D$67&gt;=$A146))</f>
        <v>0</v>
      </c>
      <c r="T146" s="150">
        <f>IF(C146&gt;$C$10,0,IF(AND($C$38&gt;0,A146&gt;=$C$38,EOMONTH(A146,0)&lt;=$C$39),E146*(1-$C$40)*(1-G$15),E146*(1-G$15)))+M146</f>
        <v>21612.190571824998</v>
      </c>
      <c r="U146" s="150">
        <f>IF(C146&gt;$C$10,0,IF(AND($C$38&gt;0,A146&gt;=$C$38,EOMONTH(A146,0)&lt;=$C$39),E146*(1-$C$40)*(1-H$15),E146*(1-H$15)))+M146</f>
        <v>20452.916497524999</v>
      </c>
      <c r="V146" s="150">
        <f>IF(C146&gt;$C$10,0,IF(AND($C$38&gt;0,A146&gt;=$C$38,EOMONTH(A146,0)&lt;=$C$39),E146*(1-$C$40)*(1-I$15),E146*(1-I$15)))+M146</f>
        <v>19293.642423224999</v>
      </c>
      <c r="W146" s="181">
        <f>IF(C146&gt;$C$10,0,IF(AND($C$38&gt;0,A146&gt;=$C$38,EOMONTH(A146,0)&lt;=$C$39),E146*(1-$C$40)*(1-F$34),E146*(1-F$34)))+M146</f>
        <v>22771.464646124998</v>
      </c>
      <c r="X146" s="179">
        <f>IF(C146&gt;$C$10,0,IF(AND($C$38&gt;0,A146&gt;=$C$38,EOMONTH(A146,0)&lt;=$C$39),E146*(1-$C$40)*(1-G$34),E146*(1-G$34)))+M146</f>
        <v>20452.916497524999</v>
      </c>
      <c r="Y146" s="178">
        <f>IF(C146&gt;$C$10,0,IF(AND($C$38&gt;0,A146&gt;=$C$38,EOMONTH(A146,0)&lt;=$C$39),E146*(1-$C$40)*(1-H$34),E146*(1-H$34)))+M146</f>
        <v>19293.642423224999</v>
      </c>
      <c r="Z146" s="179">
        <f>IF(C146&gt;$C$10,0,IF(AND($C$38&gt;0,A146&gt;=$C$38,EOMONTH(A146,0)&lt;=$C$39),E146*(1-$C$40)*(1-I$34),E146*(1-I$34)))+M146</f>
        <v>18134.368348924996</v>
      </c>
      <c r="AA146" s="180">
        <f>IF(C146&gt;$C$10,0,IF(AND($C$38&gt;0,A146&gt;=$C$38,EOMONTH(A146,0)&lt;=$C$39),E146*(1-$C$40)*(1-J$34),E146*(1-J$34)))+M146</f>
        <v>16975.094274625</v>
      </c>
    </row>
    <row r="147" spans="1:27" x14ac:dyDescent="0.25">
      <c r="A147" s="98">
        <f>EDATE($C$8,72)</f>
        <v>45544</v>
      </c>
      <c r="B147" s="99">
        <f>EDATE($C$8,73)-1</f>
        <v>45573</v>
      </c>
      <c r="C147" s="92">
        <f t="shared" si="31"/>
        <v>73</v>
      </c>
      <c r="D147" s="100">
        <f t="shared" si="21"/>
        <v>7</v>
      </c>
      <c r="E147" s="101">
        <f t="shared" si="22"/>
        <v>11940.52296529</v>
      </c>
      <c r="F147" s="94">
        <f t="shared" si="32"/>
        <v>11940.52296529</v>
      </c>
      <c r="G147" s="95">
        <f t="shared" si="33"/>
        <v>0</v>
      </c>
      <c r="H147" s="94">
        <f t="shared" si="23"/>
        <v>4477.6961119837497</v>
      </c>
      <c r="I147" s="94">
        <f t="shared" si="24"/>
        <v>2238.8480559918748</v>
      </c>
      <c r="J147" s="94">
        <f t="shared" si="25"/>
        <v>3731.4134266531246</v>
      </c>
      <c r="K147" s="94">
        <f t="shared" si="26"/>
        <v>703.85151203999999</v>
      </c>
      <c r="L147" s="94">
        <f t="shared" si="27"/>
        <v>351.92575601999999</v>
      </c>
      <c r="M147" s="94">
        <f t="shared" si="28"/>
        <v>11503.734862688749</v>
      </c>
      <c r="N147" s="101">
        <f t="shared" si="29"/>
        <v>23444.257827978749</v>
      </c>
      <c r="O147" s="102">
        <f t="shared" si="30"/>
        <v>1.56295052186525</v>
      </c>
      <c r="P147" s="101">
        <f>MAX(SUM(N147:N198)+S147,0)</f>
        <v>1202539.8609059132</v>
      </c>
      <c r="Q147" s="101">
        <f>SUM(F147:F198)</f>
        <v>612895.49505392916</v>
      </c>
      <c r="R147" s="101">
        <f>SUM(M147:M198)</f>
        <v>589644.36585198401</v>
      </c>
      <c r="S147" s="103">
        <f>SUMPRODUCT(($C$55:$C$67)*($D$55:$D$67&gt;=$A147))</f>
        <v>0</v>
      </c>
      <c r="T147" s="150">
        <f>IF(C147&gt;$C$10,0,IF(AND($C$38&gt;0,A147&gt;=$C$38,EOMONTH(A147,0)&lt;=$C$39),E147*(1-$C$40)*(1-G$15),E147*(1-G$15)))+M147</f>
        <v>22250.205531449748</v>
      </c>
      <c r="U147" s="150">
        <f>IF(C147&gt;$C$10,0,IF(AND($C$38&gt;0,A147&gt;=$C$38,EOMONTH(A147,0)&lt;=$C$39),E147*(1-$C$40)*(1-H$15),E147*(1-H$15)))+M147</f>
        <v>21056.153234920748</v>
      </c>
      <c r="V147" s="150">
        <f>IF(C147&gt;$C$10,0,IF(AND($C$38&gt;0,A147&gt;=$C$38,EOMONTH(A147,0)&lt;=$C$39),E147*(1-$C$40)*(1-I$15),E147*(1-I$15)))+M147</f>
        <v>19862.100938391748</v>
      </c>
      <c r="W147" s="181">
        <f>IF(C147&gt;$C$10,0,IF(AND($C$38&gt;0,A147&gt;=$C$38,EOMONTH(A147,0)&lt;=$C$39),E147*(1-$C$40)*(1-F$34),E147*(1-F$34)))+M147</f>
        <v>23444.257827978749</v>
      </c>
      <c r="X147" s="179">
        <f>IF(C147&gt;$C$10,0,IF(AND($C$38&gt;0,A147&gt;=$C$38,EOMONTH(A147,0)&lt;=$C$39),E147*(1-$C$40)*(1-G$34),E147*(1-G$34)))+M147</f>
        <v>21056.153234920748</v>
      </c>
      <c r="Y147" s="178">
        <f>IF(C147&gt;$C$10,0,IF(AND($C$38&gt;0,A147&gt;=$C$38,EOMONTH(A147,0)&lt;=$C$39),E147*(1-$C$40)*(1-H$34),E147*(1-H$34)))+M147</f>
        <v>19862.100938391748</v>
      </c>
      <c r="Z147" s="179">
        <f>IF(C147&gt;$C$10,0,IF(AND($C$38&gt;0,A147&gt;=$C$38,EOMONTH(A147,0)&lt;=$C$39),E147*(1-$C$40)*(1-I$34),E147*(1-I$34)))+M147</f>
        <v>18668.048641862748</v>
      </c>
      <c r="AA147" s="180">
        <f>IF(C147&gt;$C$10,0,IF(AND($C$38&gt;0,A147&gt;=$C$38,EOMONTH(A147,0)&lt;=$C$39),E147*(1-$C$40)*(1-J$34),E147*(1-J$34)))+M147</f>
        <v>17473.996345333748</v>
      </c>
    </row>
    <row r="148" spans="1:27" x14ac:dyDescent="0.25">
      <c r="A148" s="104">
        <f>EDATE($C$8,73)</f>
        <v>45574</v>
      </c>
      <c r="B148" s="105">
        <f>EDATE($C$8,74)-1</f>
        <v>45604</v>
      </c>
      <c r="C148" s="92">
        <f t="shared" si="31"/>
        <v>74</v>
      </c>
      <c r="D148" s="106">
        <f t="shared" si="21"/>
        <v>7</v>
      </c>
      <c r="E148" s="107">
        <f t="shared" si="22"/>
        <v>11940.52296529</v>
      </c>
      <c r="F148" s="94">
        <f t="shared" si="32"/>
        <v>11940.52296529</v>
      </c>
      <c r="G148" s="95">
        <f t="shared" si="33"/>
        <v>0</v>
      </c>
      <c r="H148" s="94">
        <f t="shared" si="23"/>
        <v>4477.6961119837497</v>
      </c>
      <c r="I148" s="94">
        <f t="shared" si="24"/>
        <v>2238.8480559918748</v>
      </c>
      <c r="J148" s="94">
        <f t="shared" si="25"/>
        <v>3731.4134266531246</v>
      </c>
      <c r="K148" s="94">
        <f t="shared" si="26"/>
        <v>703.85151203999999</v>
      </c>
      <c r="L148" s="94">
        <f t="shared" si="27"/>
        <v>351.92575601999999</v>
      </c>
      <c r="M148" s="94">
        <f t="shared" si="28"/>
        <v>11503.734862688749</v>
      </c>
      <c r="N148" s="107">
        <f t="shared" si="29"/>
        <v>23444.257827978749</v>
      </c>
      <c r="O148" s="108">
        <f t="shared" si="30"/>
        <v>1.56295052186525</v>
      </c>
      <c r="P148" s="107">
        <f>MAX(SUM(N148:N198)+S148,0)</f>
        <v>1179095.6030779346</v>
      </c>
      <c r="Q148" s="107">
        <f>SUM(F148:F198)</f>
        <v>600954.97208863916</v>
      </c>
      <c r="R148" s="107">
        <f>SUM(M148:M198)</f>
        <v>578140.63098929531</v>
      </c>
      <c r="S148" s="109">
        <f>SUMPRODUCT(($C$55:$C$67)*($D$55:$D$67&gt;=$A148))</f>
        <v>0</v>
      </c>
      <c r="T148" s="150">
        <f>IF(C148&gt;$C$10,0,IF(AND($C$38&gt;0,A148&gt;=$C$38,EOMONTH(A148,0)&lt;=$C$39),E148*(1-$C$40)*(1-G$15),E148*(1-G$15)))+M148</f>
        <v>22250.205531449748</v>
      </c>
      <c r="U148" s="150">
        <f>IF(C148&gt;$C$10,0,IF(AND($C$38&gt;0,A148&gt;=$C$38,EOMONTH(A148,0)&lt;=$C$39),E148*(1-$C$40)*(1-H$15),E148*(1-H$15)))+M148</f>
        <v>21056.153234920748</v>
      </c>
      <c r="V148" s="150">
        <f>IF(C148&gt;$C$10,0,IF(AND($C$38&gt;0,A148&gt;=$C$38,EOMONTH(A148,0)&lt;=$C$39),E148*(1-$C$40)*(1-I$15),E148*(1-I$15)))+M148</f>
        <v>19862.100938391748</v>
      </c>
      <c r="W148" s="181">
        <f>IF(C148&gt;$C$10,0,IF(AND($C$38&gt;0,A148&gt;=$C$38,EOMONTH(A148,0)&lt;=$C$39),E148*(1-$C$40)*(1-F$34),E148*(1-F$34)))+M148</f>
        <v>23444.257827978749</v>
      </c>
      <c r="X148" s="179">
        <f>IF(C148&gt;$C$10,0,IF(AND($C$38&gt;0,A148&gt;=$C$38,EOMONTH(A148,0)&lt;=$C$39),E148*(1-$C$40)*(1-G$34),E148*(1-G$34)))+M148</f>
        <v>21056.153234920748</v>
      </c>
      <c r="Y148" s="178">
        <f>IF(C148&gt;$C$10,0,IF(AND($C$38&gt;0,A148&gt;=$C$38,EOMONTH(A148,0)&lt;=$C$39),E148*(1-$C$40)*(1-H$34),E148*(1-H$34)))+M148</f>
        <v>19862.100938391748</v>
      </c>
      <c r="Z148" s="179">
        <f>IF(C148&gt;$C$10,0,IF(AND($C$38&gt;0,A148&gt;=$C$38,EOMONTH(A148,0)&lt;=$C$39),E148*(1-$C$40)*(1-I$34),E148*(1-I$34)))+M148</f>
        <v>18668.048641862748</v>
      </c>
      <c r="AA148" s="180">
        <f>IF(C148&gt;$C$10,0,IF(AND($C$38&gt;0,A148&gt;=$C$38,EOMONTH(A148,0)&lt;=$C$39),E148*(1-$C$40)*(1-J$34),E148*(1-J$34)))+M148</f>
        <v>17473.996345333748</v>
      </c>
    </row>
    <row r="149" spans="1:27" x14ac:dyDescent="0.25">
      <c r="A149" s="98">
        <f>EDATE($C$8,74)</f>
        <v>45605</v>
      </c>
      <c r="B149" s="99">
        <f>EDATE($C$8,75)-1</f>
        <v>45634</v>
      </c>
      <c r="C149" s="92">
        <f t="shared" si="31"/>
        <v>75</v>
      </c>
      <c r="D149" s="100">
        <f t="shared" si="21"/>
        <v>7</v>
      </c>
      <c r="E149" s="101">
        <f t="shared" si="22"/>
        <v>11940.52296529</v>
      </c>
      <c r="F149" s="94">
        <f t="shared" si="32"/>
        <v>11940.52296529</v>
      </c>
      <c r="G149" s="95">
        <f t="shared" si="33"/>
        <v>0</v>
      </c>
      <c r="H149" s="94">
        <f t="shared" si="23"/>
        <v>4477.6961119837497</v>
      </c>
      <c r="I149" s="94">
        <f t="shared" si="24"/>
        <v>2238.8480559918748</v>
      </c>
      <c r="J149" s="94">
        <f t="shared" si="25"/>
        <v>3731.4134266531246</v>
      </c>
      <c r="K149" s="94">
        <f t="shared" si="26"/>
        <v>703.85151203999999</v>
      </c>
      <c r="L149" s="94">
        <f t="shared" si="27"/>
        <v>351.92575601999999</v>
      </c>
      <c r="M149" s="94">
        <f t="shared" si="28"/>
        <v>11503.734862688749</v>
      </c>
      <c r="N149" s="101">
        <f t="shared" si="29"/>
        <v>23444.257827978749</v>
      </c>
      <c r="O149" s="102">
        <f t="shared" si="30"/>
        <v>1.56295052186525</v>
      </c>
      <c r="P149" s="101">
        <f>MAX(SUM(N149:N198)+S149,0)</f>
        <v>1155651.3452499555</v>
      </c>
      <c r="Q149" s="101">
        <f>SUM(F149:F198)</f>
        <v>589014.44912334916</v>
      </c>
      <c r="R149" s="101">
        <f>SUM(M149:M198)</f>
        <v>566636.89612660662</v>
      </c>
      <c r="S149" s="103">
        <f>SUMPRODUCT(($C$55:$C$67)*($D$55:$D$67&gt;=$A149))</f>
        <v>0</v>
      </c>
      <c r="T149" s="150">
        <f>IF(C149&gt;$C$10,0,IF(AND($C$38&gt;0,A149&gt;=$C$38,EOMONTH(A149,0)&lt;=$C$39),E149*(1-$C$40)*(1-G$15),E149*(1-G$15)))+M149</f>
        <v>22250.205531449748</v>
      </c>
      <c r="U149" s="150">
        <f>IF(C149&gt;$C$10,0,IF(AND($C$38&gt;0,A149&gt;=$C$38,EOMONTH(A149,0)&lt;=$C$39),E149*(1-$C$40)*(1-H$15),E149*(1-H$15)))+M149</f>
        <v>21056.153234920748</v>
      </c>
      <c r="V149" s="150">
        <f>IF(C149&gt;$C$10,0,IF(AND($C$38&gt;0,A149&gt;=$C$38,EOMONTH(A149,0)&lt;=$C$39),E149*(1-$C$40)*(1-I$15),E149*(1-I$15)))+M149</f>
        <v>19862.100938391748</v>
      </c>
      <c r="W149" s="181">
        <f>IF(C149&gt;$C$10,0,IF(AND($C$38&gt;0,A149&gt;=$C$38,EOMONTH(A149,0)&lt;=$C$39),E149*(1-$C$40)*(1-F$34),E149*(1-F$34)))+M149</f>
        <v>23444.257827978749</v>
      </c>
      <c r="X149" s="179">
        <f>IF(C149&gt;$C$10,0,IF(AND($C$38&gt;0,A149&gt;=$C$38,EOMONTH(A149,0)&lt;=$C$39),E149*(1-$C$40)*(1-G$34),E149*(1-G$34)))+M149</f>
        <v>21056.153234920748</v>
      </c>
      <c r="Y149" s="178">
        <f>IF(C149&gt;$C$10,0,IF(AND($C$38&gt;0,A149&gt;=$C$38,EOMONTH(A149,0)&lt;=$C$39),E149*(1-$C$40)*(1-H$34),E149*(1-H$34)))+M149</f>
        <v>19862.100938391748</v>
      </c>
      <c r="Z149" s="179">
        <f>IF(C149&gt;$C$10,0,IF(AND($C$38&gt;0,A149&gt;=$C$38,EOMONTH(A149,0)&lt;=$C$39),E149*(1-$C$40)*(1-I$34),E149*(1-I$34)))+M149</f>
        <v>18668.048641862748</v>
      </c>
      <c r="AA149" s="180">
        <f>IF(C149&gt;$C$10,0,IF(AND($C$38&gt;0,A149&gt;=$C$38,EOMONTH(A149,0)&lt;=$C$39),E149*(1-$C$40)*(1-J$34),E149*(1-J$34)))+M149</f>
        <v>17473.996345333748</v>
      </c>
    </row>
    <row r="150" spans="1:27" x14ac:dyDescent="0.25">
      <c r="A150" s="104">
        <f>EDATE($C$8,75)</f>
        <v>45635</v>
      </c>
      <c r="B150" s="105">
        <f>EDATE($C$8,76)-1</f>
        <v>45665</v>
      </c>
      <c r="C150" s="92">
        <f t="shared" si="31"/>
        <v>76</v>
      </c>
      <c r="D150" s="106">
        <f t="shared" si="21"/>
        <v>7</v>
      </c>
      <c r="E150" s="107">
        <f t="shared" si="22"/>
        <v>11940.52296529</v>
      </c>
      <c r="F150" s="94">
        <f t="shared" si="32"/>
        <v>11940.52296529</v>
      </c>
      <c r="G150" s="95">
        <f t="shared" si="33"/>
        <v>0</v>
      </c>
      <c r="H150" s="94">
        <f t="shared" si="23"/>
        <v>4477.6961119837497</v>
      </c>
      <c r="I150" s="94">
        <f t="shared" si="24"/>
        <v>2238.8480559918748</v>
      </c>
      <c r="J150" s="94">
        <f t="shared" si="25"/>
        <v>3731.4134266531246</v>
      </c>
      <c r="K150" s="94">
        <f t="shared" si="26"/>
        <v>703.85151203999999</v>
      </c>
      <c r="L150" s="94">
        <f t="shared" si="27"/>
        <v>351.92575601999999</v>
      </c>
      <c r="M150" s="94">
        <f t="shared" si="28"/>
        <v>11503.734862688749</v>
      </c>
      <c r="N150" s="107">
        <f t="shared" si="29"/>
        <v>23444.257827978749</v>
      </c>
      <c r="O150" s="108">
        <f t="shared" si="30"/>
        <v>1.56295052186525</v>
      </c>
      <c r="P150" s="107">
        <f>MAX(SUM(N150:N198)+S150,0)</f>
        <v>1132207.0874219767</v>
      </c>
      <c r="Q150" s="107">
        <f>SUM(F150:F198)</f>
        <v>577073.92615805916</v>
      </c>
      <c r="R150" s="107">
        <f>SUM(M150:M198)</f>
        <v>555133.16126391781</v>
      </c>
      <c r="S150" s="109">
        <f>SUMPRODUCT(($C$55:$C$67)*($D$55:$D$67&gt;=$A150))</f>
        <v>0</v>
      </c>
      <c r="T150" s="150">
        <f>IF(C150&gt;$C$10,0,IF(AND($C$38&gt;0,A150&gt;=$C$38,EOMONTH(A150,0)&lt;=$C$39),E150*(1-$C$40)*(1-G$15),E150*(1-G$15)))+M150</f>
        <v>22250.205531449748</v>
      </c>
      <c r="U150" s="150">
        <f>IF(C150&gt;$C$10,0,IF(AND($C$38&gt;0,A150&gt;=$C$38,EOMONTH(A150,0)&lt;=$C$39),E150*(1-$C$40)*(1-H$15),E150*(1-H$15)))+M150</f>
        <v>21056.153234920748</v>
      </c>
      <c r="V150" s="150">
        <f>IF(C150&gt;$C$10,0,IF(AND($C$38&gt;0,A150&gt;=$C$38,EOMONTH(A150,0)&lt;=$C$39),E150*(1-$C$40)*(1-I$15),E150*(1-I$15)))+M150</f>
        <v>19862.100938391748</v>
      </c>
      <c r="W150" s="181">
        <f>IF(C150&gt;$C$10,0,IF(AND($C$38&gt;0,A150&gt;=$C$38,EOMONTH(A150,0)&lt;=$C$39),E150*(1-$C$40)*(1-F$34),E150*(1-F$34)))+M150</f>
        <v>23444.257827978749</v>
      </c>
      <c r="X150" s="179">
        <f>IF(C150&gt;$C$10,0,IF(AND($C$38&gt;0,A150&gt;=$C$38,EOMONTH(A150,0)&lt;=$C$39),E150*(1-$C$40)*(1-G$34),E150*(1-G$34)))+M150</f>
        <v>21056.153234920748</v>
      </c>
      <c r="Y150" s="178">
        <f>IF(C150&gt;$C$10,0,IF(AND($C$38&gt;0,A150&gt;=$C$38,EOMONTH(A150,0)&lt;=$C$39),E150*(1-$C$40)*(1-H$34),E150*(1-H$34)))+M150</f>
        <v>19862.100938391748</v>
      </c>
      <c r="Z150" s="179">
        <f>IF(C150&gt;$C$10,0,IF(AND($C$38&gt;0,A150&gt;=$C$38,EOMONTH(A150,0)&lt;=$C$39),E150*(1-$C$40)*(1-I$34),E150*(1-I$34)))+M150</f>
        <v>18668.048641862748</v>
      </c>
      <c r="AA150" s="180">
        <f>IF(C150&gt;$C$10,0,IF(AND($C$38&gt;0,A150&gt;=$C$38,EOMONTH(A150,0)&lt;=$C$39),E150*(1-$C$40)*(1-J$34),E150*(1-J$34)))+M150</f>
        <v>17473.996345333748</v>
      </c>
    </row>
    <row r="151" spans="1:27" x14ac:dyDescent="0.25">
      <c r="A151" s="98">
        <f>EDATE($C$8,76)</f>
        <v>45666</v>
      </c>
      <c r="B151" s="99">
        <f>EDATE($C$8,77)-1</f>
        <v>45696</v>
      </c>
      <c r="C151" s="92">
        <f t="shared" si="31"/>
        <v>77</v>
      </c>
      <c r="D151" s="100">
        <f t="shared" si="21"/>
        <v>7</v>
      </c>
      <c r="E151" s="101">
        <f t="shared" si="22"/>
        <v>11940.52296529</v>
      </c>
      <c r="F151" s="94">
        <f t="shared" si="32"/>
        <v>11940.52296529</v>
      </c>
      <c r="G151" s="95">
        <f t="shared" si="33"/>
        <v>0</v>
      </c>
      <c r="H151" s="94">
        <f t="shared" si="23"/>
        <v>4477.6961119837497</v>
      </c>
      <c r="I151" s="94">
        <f t="shared" si="24"/>
        <v>2238.8480559918748</v>
      </c>
      <c r="J151" s="94">
        <f t="shared" si="25"/>
        <v>3731.4134266531246</v>
      </c>
      <c r="K151" s="94">
        <f t="shared" si="26"/>
        <v>703.85151203999999</v>
      </c>
      <c r="L151" s="94">
        <f t="shared" si="27"/>
        <v>351.92575601999999</v>
      </c>
      <c r="M151" s="94">
        <f t="shared" si="28"/>
        <v>11503.734862688749</v>
      </c>
      <c r="N151" s="101">
        <f t="shared" si="29"/>
        <v>23444.257827978749</v>
      </c>
      <c r="O151" s="102">
        <f t="shared" si="30"/>
        <v>1.56295052186525</v>
      </c>
      <c r="P151" s="101">
        <f>MAX(SUM(N151:N198)+S151,0)</f>
        <v>1108762.8295939977</v>
      </c>
      <c r="Q151" s="101">
        <f>SUM(F151:F198)</f>
        <v>565133.40319276915</v>
      </c>
      <c r="R151" s="101">
        <f>SUM(M151:M198)</f>
        <v>543629.42640122911</v>
      </c>
      <c r="S151" s="103">
        <f>SUMPRODUCT(($C$55:$C$67)*($D$55:$D$67&gt;=$A151))</f>
        <v>0</v>
      </c>
      <c r="T151" s="150">
        <f>IF(C151&gt;$C$10,0,IF(AND($C$38&gt;0,A151&gt;=$C$38,EOMONTH(A151,0)&lt;=$C$39),E151*(1-$C$40)*(1-G$15),E151*(1-G$15)))+M151</f>
        <v>22250.205531449748</v>
      </c>
      <c r="U151" s="150">
        <f>IF(C151&gt;$C$10,0,IF(AND($C$38&gt;0,A151&gt;=$C$38,EOMONTH(A151,0)&lt;=$C$39),E151*(1-$C$40)*(1-H$15),E151*(1-H$15)))+M151</f>
        <v>21056.153234920748</v>
      </c>
      <c r="V151" s="150">
        <f>IF(C151&gt;$C$10,0,IF(AND($C$38&gt;0,A151&gt;=$C$38,EOMONTH(A151,0)&lt;=$C$39),E151*(1-$C$40)*(1-I$15),E151*(1-I$15)))+M151</f>
        <v>19862.100938391748</v>
      </c>
      <c r="W151" s="181">
        <f>IF(C151&gt;$C$10,0,IF(AND($C$38&gt;0,A151&gt;=$C$38,EOMONTH(A151,0)&lt;=$C$39),E151*(1-$C$40)*(1-F$34),E151*(1-F$34)))+M151</f>
        <v>23444.257827978749</v>
      </c>
      <c r="X151" s="179">
        <f>IF(C151&gt;$C$10,0,IF(AND($C$38&gt;0,A151&gt;=$C$38,EOMONTH(A151,0)&lt;=$C$39),E151*(1-$C$40)*(1-G$34),E151*(1-G$34)))+M151</f>
        <v>21056.153234920748</v>
      </c>
      <c r="Y151" s="178">
        <f>IF(C151&gt;$C$10,0,IF(AND($C$38&gt;0,A151&gt;=$C$38,EOMONTH(A151,0)&lt;=$C$39),E151*(1-$C$40)*(1-H$34),E151*(1-H$34)))+M151</f>
        <v>19862.100938391748</v>
      </c>
      <c r="Z151" s="179">
        <f>IF(C151&gt;$C$10,0,IF(AND($C$38&gt;0,A151&gt;=$C$38,EOMONTH(A151,0)&lt;=$C$39),E151*(1-$C$40)*(1-I$34),E151*(1-I$34)))+M151</f>
        <v>18668.048641862748</v>
      </c>
      <c r="AA151" s="180">
        <f>IF(C151&gt;$C$10,0,IF(AND($C$38&gt;0,A151&gt;=$C$38,EOMONTH(A151,0)&lt;=$C$39),E151*(1-$C$40)*(1-J$34),E151*(1-J$34)))+M151</f>
        <v>17473.996345333748</v>
      </c>
    </row>
    <row r="152" spans="1:27" x14ac:dyDescent="0.25">
      <c r="A152" s="104">
        <f>EDATE($C$8,77)</f>
        <v>45697</v>
      </c>
      <c r="B152" s="105">
        <f>EDATE($C$8,78)-1</f>
        <v>45724</v>
      </c>
      <c r="C152" s="92">
        <f t="shared" si="31"/>
        <v>78</v>
      </c>
      <c r="D152" s="106">
        <f t="shared" si="21"/>
        <v>7</v>
      </c>
      <c r="E152" s="107">
        <f t="shared" si="22"/>
        <v>11940.52296529</v>
      </c>
      <c r="F152" s="94">
        <f t="shared" si="32"/>
        <v>11940.52296529</v>
      </c>
      <c r="G152" s="95">
        <f t="shared" si="33"/>
        <v>0</v>
      </c>
      <c r="H152" s="94">
        <f t="shared" si="23"/>
        <v>4477.6961119837497</v>
      </c>
      <c r="I152" s="94">
        <f t="shared" si="24"/>
        <v>2238.8480559918748</v>
      </c>
      <c r="J152" s="94">
        <f t="shared" si="25"/>
        <v>3731.4134266531246</v>
      </c>
      <c r="K152" s="94">
        <f t="shared" si="26"/>
        <v>703.85151203999999</v>
      </c>
      <c r="L152" s="94">
        <f t="shared" si="27"/>
        <v>351.92575601999999</v>
      </c>
      <c r="M152" s="94">
        <f t="shared" si="28"/>
        <v>11503.734862688749</v>
      </c>
      <c r="N152" s="107">
        <f t="shared" si="29"/>
        <v>23444.257827978749</v>
      </c>
      <c r="O152" s="108">
        <f t="shared" si="30"/>
        <v>1.56295052186525</v>
      </c>
      <c r="P152" s="107">
        <f>MAX(SUM(N152:N198)+S152,0)</f>
        <v>1085318.5717660189</v>
      </c>
      <c r="Q152" s="107">
        <f>SUM(F152:F198)</f>
        <v>553192.88022747915</v>
      </c>
      <c r="R152" s="107">
        <f>SUM(M152:M198)</f>
        <v>532125.69153854041</v>
      </c>
      <c r="S152" s="109">
        <f>SUMPRODUCT(($C$55:$C$67)*($D$55:$D$67&gt;=$A152))</f>
        <v>0</v>
      </c>
      <c r="T152" s="150">
        <f>IF(C152&gt;$C$10,0,IF(AND($C$38&gt;0,A152&gt;=$C$38,EOMONTH(A152,0)&lt;=$C$39),E152*(1-$C$40)*(1-G$15),E152*(1-G$15)))+M152</f>
        <v>22250.205531449748</v>
      </c>
      <c r="U152" s="150">
        <f>IF(C152&gt;$C$10,0,IF(AND($C$38&gt;0,A152&gt;=$C$38,EOMONTH(A152,0)&lt;=$C$39),E152*(1-$C$40)*(1-H$15),E152*(1-H$15)))+M152</f>
        <v>21056.153234920748</v>
      </c>
      <c r="V152" s="150">
        <f>IF(C152&gt;$C$10,0,IF(AND($C$38&gt;0,A152&gt;=$C$38,EOMONTH(A152,0)&lt;=$C$39),E152*(1-$C$40)*(1-I$15),E152*(1-I$15)))+M152</f>
        <v>19862.100938391748</v>
      </c>
      <c r="W152" s="181">
        <f>IF(C152&gt;$C$10,0,IF(AND($C$38&gt;0,A152&gt;=$C$38,EOMONTH(A152,0)&lt;=$C$39),E152*(1-$C$40)*(1-F$34),E152*(1-F$34)))+M152</f>
        <v>23444.257827978749</v>
      </c>
      <c r="X152" s="179">
        <f>IF(C152&gt;$C$10,0,IF(AND($C$38&gt;0,A152&gt;=$C$38,EOMONTH(A152,0)&lt;=$C$39),E152*(1-$C$40)*(1-G$34),E152*(1-G$34)))+M152</f>
        <v>21056.153234920748</v>
      </c>
      <c r="Y152" s="178">
        <f>IF(C152&gt;$C$10,0,IF(AND($C$38&gt;0,A152&gt;=$C$38,EOMONTH(A152,0)&lt;=$C$39),E152*(1-$C$40)*(1-H$34),E152*(1-H$34)))+M152</f>
        <v>19862.100938391748</v>
      </c>
      <c r="Z152" s="179">
        <f>IF(C152&gt;$C$10,0,IF(AND($C$38&gt;0,A152&gt;=$C$38,EOMONTH(A152,0)&lt;=$C$39),E152*(1-$C$40)*(1-I$34),E152*(1-I$34)))+M152</f>
        <v>18668.048641862748</v>
      </c>
      <c r="AA152" s="180">
        <f>IF(C152&gt;$C$10,0,IF(AND($C$38&gt;0,A152&gt;=$C$38,EOMONTH(A152,0)&lt;=$C$39),E152*(1-$C$40)*(1-J$34),E152*(1-J$34)))+M152</f>
        <v>17473.996345333748</v>
      </c>
    </row>
    <row r="153" spans="1:27" x14ac:dyDescent="0.25">
      <c r="A153" s="98">
        <f>EDATE($C$8,78)</f>
        <v>45725</v>
      </c>
      <c r="B153" s="99">
        <f>EDATE($C$8,79)-1</f>
        <v>45755</v>
      </c>
      <c r="C153" s="92">
        <f t="shared" si="31"/>
        <v>79</v>
      </c>
      <c r="D153" s="100">
        <f t="shared" si="21"/>
        <v>7</v>
      </c>
      <c r="E153" s="101">
        <f t="shared" si="22"/>
        <v>11940.52296529</v>
      </c>
      <c r="F153" s="94">
        <f t="shared" si="32"/>
        <v>11940.52296529</v>
      </c>
      <c r="G153" s="95">
        <f t="shared" si="33"/>
        <v>0</v>
      </c>
      <c r="H153" s="94">
        <f t="shared" si="23"/>
        <v>4477.6961119837497</v>
      </c>
      <c r="I153" s="94">
        <f t="shared" si="24"/>
        <v>2238.8480559918748</v>
      </c>
      <c r="J153" s="94">
        <f t="shared" si="25"/>
        <v>3731.4134266531246</v>
      </c>
      <c r="K153" s="94">
        <f t="shared" si="26"/>
        <v>703.85151203999999</v>
      </c>
      <c r="L153" s="94">
        <f t="shared" si="27"/>
        <v>351.92575601999999</v>
      </c>
      <c r="M153" s="94">
        <f t="shared" si="28"/>
        <v>11503.734862688749</v>
      </c>
      <c r="N153" s="101">
        <f t="shared" si="29"/>
        <v>23444.257827978749</v>
      </c>
      <c r="O153" s="102">
        <f t="shared" si="30"/>
        <v>1.56295052186525</v>
      </c>
      <c r="P153" s="101">
        <f>MAX(SUM(N153:N198)+S153,0)</f>
        <v>1061874.3139380398</v>
      </c>
      <c r="Q153" s="101">
        <f>SUM(F153:F198)</f>
        <v>541252.35726218915</v>
      </c>
      <c r="R153" s="101">
        <f>SUM(M153:M198)</f>
        <v>520621.95667585166</v>
      </c>
      <c r="S153" s="103">
        <f>SUMPRODUCT(($C$55:$C$67)*($D$55:$D$67&gt;=$A153))</f>
        <v>0</v>
      </c>
      <c r="T153" s="150">
        <f>IF(C153&gt;$C$10,0,IF(AND($C$38&gt;0,A153&gt;=$C$38,EOMONTH(A153,0)&lt;=$C$39),E153*(1-$C$40)*(1-G$15),E153*(1-G$15)))+M153</f>
        <v>22250.205531449748</v>
      </c>
      <c r="U153" s="150">
        <f>IF(C153&gt;$C$10,0,IF(AND($C$38&gt;0,A153&gt;=$C$38,EOMONTH(A153,0)&lt;=$C$39),E153*(1-$C$40)*(1-H$15),E153*(1-H$15)))+M153</f>
        <v>21056.153234920748</v>
      </c>
      <c r="V153" s="150">
        <f>IF(C153&gt;$C$10,0,IF(AND($C$38&gt;0,A153&gt;=$C$38,EOMONTH(A153,0)&lt;=$C$39),E153*(1-$C$40)*(1-I$15),E153*(1-I$15)))+M153</f>
        <v>19862.100938391748</v>
      </c>
      <c r="W153" s="181">
        <f>IF(C153&gt;$C$10,0,IF(AND($C$38&gt;0,A153&gt;=$C$38,EOMONTH(A153,0)&lt;=$C$39),E153*(1-$C$40)*(1-F$34),E153*(1-F$34)))+M153</f>
        <v>23444.257827978749</v>
      </c>
      <c r="X153" s="179">
        <f>IF(C153&gt;$C$10,0,IF(AND($C$38&gt;0,A153&gt;=$C$38,EOMONTH(A153,0)&lt;=$C$39),E153*(1-$C$40)*(1-G$34),E153*(1-G$34)))+M153</f>
        <v>21056.153234920748</v>
      </c>
      <c r="Y153" s="178">
        <f>IF(C153&gt;$C$10,0,IF(AND($C$38&gt;0,A153&gt;=$C$38,EOMONTH(A153,0)&lt;=$C$39),E153*(1-$C$40)*(1-H$34),E153*(1-H$34)))+M153</f>
        <v>19862.100938391748</v>
      </c>
      <c r="Z153" s="179">
        <f>IF(C153&gt;$C$10,0,IF(AND($C$38&gt;0,A153&gt;=$C$38,EOMONTH(A153,0)&lt;=$C$39),E153*(1-$C$40)*(1-I$34),E153*(1-I$34)))+M153</f>
        <v>18668.048641862748</v>
      </c>
      <c r="AA153" s="180">
        <f>IF(C153&gt;$C$10,0,IF(AND($C$38&gt;0,A153&gt;=$C$38,EOMONTH(A153,0)&lt;=$C$39),E153*(1-$C$40)*(1-J$34),E153*(1-J$34)))+M153</f>
        <v>17473.996345333748</v>
      </c>
    </row>
    <row r="154" spans="1:27" x14ac:dyDescent="0.25">
      <c r="A154" s="104">
        <f>EDATE($C$8,79)</f>
        <v>45756</v>
      </c>
      <c r="B154" s="105">
        <f>EDATE($C$8,80)-1</f>
        <v>45785</v>
      </c>
      <c r="C154" s="92">
        <f t="shared" si="31"/>
        <v>80</v>
      </c>
      <c r="D154" s="106">
        <f t="shared" si="21"/>
        <v>7</v>
      </c>
      <c r="E154" s="107">
        <f t="shared" si="22"/>
        <v>11940.52296529</v>
      </c>
      <c r="F154" s="94">
        <f t="shared" si="32"/>
        <v>11940.52296529</v>
      </c>
      <c r="G154" s="95">
        <f t="shared" si="33"/>
        <v>0</v>
      </c>
      <c r="H154" s="94">
        <f t="shared" si="23"/>
        <v>4477.6961119837497</v>
      </c>
      <c r="I154" s="94">
        <f t="shared" si="24"/>
        <v>2238.8480559918748</v>
      </c>
      <c r="J154" s="94">
        <f t="shared" si="25"/>
        <v>3731.4134266531246</v>
      </c>
      <c r="K154" s="94">
        <f t="shared" si="26"/>
        <v>703.85151203999999</v>
      </c>
      <c r="L154" s="94">
        <f t="shared" si="27"/>
        <v>351.92575601999999</v>
      </c>
      <c r="M154" s="94">
        <f t="shared" si="28"/>
        <v>11503.734862688749</v>
      </c>
      <c r="N154" s="107">
        <f t="shared" si="29"/>
        <v>23444.257827978749</v>
      </c>
      <c r="O154" s="108">
        <f t="shared" si="30"/>
        <v>1.56295052186525</v>
      </c>
      <c r="P154" s="107">
        <f>MAX(SUM(N154:N198)+S154,0)</f>
        <v>1038430.056110061</v>
      </c>
      <c r="Q154" s="107">
        <f>SUM(F154:F198)</f>
        <v>529311.83429689903</v>
      </c>
      <c r="R154" s="107">
        <f>SUM(M154:M198)</f>
        <v>509118.22181316285</v>
      </c>
      <c r="S154" s="109">
        <f>SUMPRODUCT(($C$55:$C$67)*($D$55:$D$67&gt;=$A154))</f>
        <v>0</v>
      </c>
      <c r="T154" s="150">
        <f>IF(C154&gt;$C$10,0,IF(AND($C$38&gt;0,A154&gt;=$C$38,EOMONTH(A154,0)&lt;=$C$39),E154*(1-$C$40)*(1-G$15),E154*(1-G$15)))+M154</f>
        <v>22250.205531449748</v>
      </c>
      <c r="U154" s="150">
        <f>IF(C154&gt;$C$10,0,IF(AND($C$38&gt;0,A154&gt;=$C$38,EOMONTH(A154,0)&lt;=$C$39),E154*(1-$C$40)*(1-H$15),E154*(1-H$15)))+M154</f>
        <v>21056.153234920748</v>
      </c>
      <c r="V154" s="150">
        <f>IF(C154&gt;$C$10,0,IF(AND($C$38&gt;0,A154&gt;=$C$38,EOMONTH(A154,0)&lt;=$C$39),E154*(1-$C$40)*(1-I$15),E154*(1-I$15)))+M154</f>
        <v>19862.100938391748</v>
      </c>
      <c r="W154" s="181">
        <f>IF(C154&gt;$C$10,0,IF(AND($C$38&gt;0,A154&gt;=$C$38,EOMONTH(A154,0)&lt;=$C$39),E154*(1-$C$40)*(1-F$34),E154*(1-F$34)))+M154</f>
        <v>23444.257827978749</v>
      </c>
      <c r="X154" s="179">
        <f>IF(C154&gt;$C$10,0,IF(AND($C$38&gt;0,A154&gt;=$C$38,EOMONTH(A154,0)&lt;=$C$39),E154*(1-$C$40)*(1-G$34),E154*(1-G$34)))+M154</f>
        <v>21056.153234920748</v>
      </c>
      <c r="Y154" s="178">
        <f>IF(C154&gt;$C$10,0,IF(AND($C$38&gt;0,A154&gt;=$C$38,EOMONTH(A154,0)&lt;=$C$39),E154*(1-$C$40)*(1-H$34),E154*(1-H$34)))+M154</f>
        <v>19862.100938391748</v>
      </c>
      <c r="Z154" s="179">
        <f>IF(C154&gt;$C$10,0,IF(AND($C$38&gt;0,A154&gt;=$C$38,EOMONTH(A154,0)&lt;=$C$39),E154*(1-$C$40)*(1-I$34),E154*(1-I$34)))+M154</f>
        <v>18668.048641862748</v>
      </c>
      <c r="AA154" s="180">
        <f>IF(C154&gt;$C$10,0,IF(AND($C$38&gt;0,A154&gt;=$C$38,EOMONTH(A154,0)&lt;=$C$39),E154*(1-$C$40)*(1-J$34),E154*(1-J$34)))+M154</f>
        <v>17473.996345333748</v>
      </c>
    </row>
    <row r="155" spans="1:27" x14ac:dyDescent="0.25">
      <c r="A155" s="98">
        <f>EDATE($C$8,80)</f>
        <v>45786</v>
      </c>
      <c r="B155" s="99">
        <f>EDATE($C$8,81)-1</f>
        <v>45816</v>
      </c>
      <c r="C155" s="92">
        <f t="shared" si="31"/>
        <v>81</v>
      </c>
      <c r="D155" s="100">
        <f t="shared" si="21"/>
        <v>7</v>
      </c>
      <c r="E155" s="101">
        <f t="shared" si="22"/>
        <v>11940.52296529</v>
      </c>
      <c r="F155" s="94">
        <f t="shared" si="32"/>
        <v>11940.52296529</v>
      </c>
      <c r="G155" s="95">
        <f t="shared" si="33"/>
        <v>0</v>
      </c>
      <c r="H155" s="94">
        <f t="shared" si="23"/>
        <v>4477.6961119837497</v>
      </c>
      <c r="I155" s="94">
        <f t="shared" si="24"/>
        <v>2238.8480559918748</v>
      </c>
      <c r="J155" s="94">
        <f t="shared" si="25"/>
        <v>3731.4134266531246</v>
      </c>
      <c r="K155" s="94">
        <f t="shared" si="26"/>
        <v>703.85151203999999</v>
      </c>
      <c r="L155" s="94">
        <f t="shared" si="27"/>
        <v>351.92575601999999</v>
      </c>
      <c r="M155" s="94">
        <f t="shared" si="28"/>
        <v>11503.734862688749</v>
      </c>
      <c r="N155" s="101">
        <f t="shared" si="29"/>
        <v>23444.257827978749</v>
      </c>
      <c r="O155" s="102">
        <f t="shared" si="30"/>
        <v>1.56295052186525</v>
      </c>
      <c r="P155" s="101">
        <f>MAX(SUM(N155:N198)+S155,0)</f>
        <v>1014985.7982820822</v>
      </c>
      <c r="Q155" s="101">
        <f>SUM(F155:F198)</f>
        <v>517371.31133160903</v>
      </c>
      <c r="R155" s="101">
        <f>SUM(M155:M198)</f>
        <v>497614.48695047409</v>
      </c>
      <c r="S155" s="103">
        <f>SUMPRODUCT(($C$55:$C$67)*($D$55:$D$67&gt;=$A155))</f>
        <v>0</v>
      </c>
      <c r="T155" s="150">
        <f>IF(C155&gt;$C$10,0,IF(AND($C$38&gt;0,A155&gt;=$C$38,EOMONTH(A155,0)&lt;=$C$39),E155*(1-$C$40)*(1-G$15),E155*(1-G$15)))+M155</f>
        <v>22250.205531449748</v>
      </c>
      <c r="U155" s="150">
        <f>IF(C155&gt;$C$10,0,IF(AND($C$38&gt;0,A155&gt;=$C$38,EOMONTH(A155,0)&lt;=$C$39),E155*(1-$C$40)*(1-H$15),E155*(1-H$15)))+M155</f>
        <v>21056.153234920748</v>
      </c>
      <c r="V155" s="150">
        <f>IF(C155&gt;$C$10,0,IF(AND($C$38&gt;0,A155&gt;=$C$38,EOMONTH(A155,0)&lt;=$C$39),E155*(1-$C$40)*(1-I$15),E155*(1-I$15)))+M155</f>
        <v>19862.100938391748</v>
      </c>
      <c r="W155" s="181">
        <f>IF(C155&gt;$C$10,0,IF(AND($C$38&gt;0,A155&gt;=$C$38,EOMONTH(A155,0)&lt;=$C$39),E155*(1-$C$40)*(1-F$34),E155*(1-F$34)))+M155</f>
        <v>23444.257827978749</v>
      </c>
      <c r="X155" s="179">
        <f>IF(C155&gt;$C$10,0,IF(AND($C$38&gt;0,A155&gt;=$C$38,EOMONTH(A155,0)&lt;=$C$39),E155*(1-$C$40)*(1-G$34),E155*(1-G$34)))+M155</f>
        <v>21056.153234920748</v>
      </c>
      <c r="Y155" s="178">
        <f>IF(C155&gt;$C$10,0,IF(AND($C$38&gt;0,A155&gt;=$C$38,EOMONTH(A155,0)&lt;=$C$39),E155*(1-$C$40)*(1-H$34),E155*(1-H$34)))+M155</f>
        <v>19862.100938391748</v>
      </c>
      <c r="Z155" s="179">
        <f>IF(C155&gt;$C$10,0,IF(AND($C$38&gt;0,A155&gt;=$C$38,EOMONTH(A155,0)&lt;=$C$39),E155*(1-$C$40)*(1-I$34),E155*(1-I$34)))+M155</f>
        <v>18668.048641862748</v>
      </c>
      <c r="AA155" s="180">
        <f>IF(C155&gt;$C$10,0,IF(AND($C$38&gt;0,A155&gt;=$C$38,EOMONTH(A155,0)&lt;=$C$39),E155*(1-$C$40)*(1-J$34),E155*(1-J$34)))+M155</f>
        <v>17473.996345333748</v>
      </c>
    </row>
    <row r="156" spans="1:27" x14ac:dyDescent="0.25">
      <c r="A156" s="104">
        <f>EDATE($C$8,81)</f>
        <v>45817</v>
      </c>
      <c r="B156" s="105">
        <f>EDATE($C$8,82)-1</f>
        <v>45846</v>
      </c>
      <c r="C156" s="92">
        <f t="shared" si="31"/>
        <v>82</v>
      </c>
      <c r="D156" s="106">
        <f t="shared" si="21"/>
        <v>7</v>
      </c>
      <c r="E156" s="107">
        <f t="shared" si="22"/>
        <v>11940.52296529</v>
      </c>
      <c r="F156" s="94">
        <f t="shared" si="32"/>
        <v>11940.52296529</v>
      </c>
      <c r="G156" s="95">
        <f t="shared" si="33"/>
        <v>0</v>
      </c>
      <c r="H156" s="94">
        <f t="shared" si="23"/>
        <v>4477.6961119837497</v>
      </c>
      <c r="I156" s="94">
        <f t="shared" si="24"/>
        <v>2238.8480559918748</v>
      </c>
      <c r="J156" s="94">
        <f t="shared" si="25"/>
        <v>3731.4134266531246</v>
      </c>
      <c r="K156" s="94">
        <f t="shared" si="26"/>
        <v>703.85151203999999</v>
      </c>
      <c r="L156" s="94">
        <f t="shared" si="27"/>
        <v>351.92575601999999</v>
      </c>
      <c r="M156" s="94">
        <f t="shared" si="28"/>
        <v>11503.734862688749</v>
      </c>
      <c r="N156" s="107">
        <f t="shared" si="29"/>
        <v>23444.257827978749</v>
      </c>
      <c r="O156" s="108">
        <f t="shared" si="30"/>
        <v>1.56295052186525</v>
      </c>
      <c r="P156" s="107">
        <f>MAX(SUM(N156:N198)+S156,0)</f>
        <v>991541.54045410338</v>
      </c>
      <c r="Q156" s="107">
        <f>SUM(F156:F198)</f>
        <v>505430.78836631903</v>
      </c>
      <c r="R156" s="107">
        <f>SUM(M156:M198)</f>
        <v>486110.75208778534</v>
      </c>
      <c r="S156" s="109">
        <f>SUMPRODUCT(($C$55:$C$67)*($D$55:$D$67&gt;=$A156))</f>
        <v>0</v>
      </c>
      <c r="T156" s="150">
        <f>IF(C156&gt;$C$10,0,IF(AND($C$38&gt;0,A156&gt;=$C$38,EOMONTH(A156,0)&lt;=$C$39),E156*(1-$C$40)*(1-G$15),E156*(1-G$15)))+M156</f>
        <v>22250.205531449748</v>
      </c>
      <c r="U156" s="150">
        <f>IF(C156&gt;$C$10,0,IF(AND($C$38&gt;0,A156&gt;=$C$38,EOMONTH(A156,0)&lt;=$C$39),E156*(1-$C$40)*(1-H$15),E156*(1-H$15)))+M156</f>
        <v>21056.153234920748</v>
      </c>
      <c r="V156" s="150">
        <f>IF(C156&gt;$C$10,0,IF(AND($C$38&gt;0,A156&gt;=$C$38,EOMONTH(A156,0)&lt;=$C$39),E156*(1-$C$40)*(1-I$15),E156*(1-I$15)))+M156</f>
        <v>19862.100938391748</v>
      </c>
      <c r="W156" s="181">
        <f>IF(C156&gt;$C$10,0,IF(AND($C$38&gt;0,A156&gt;=$C$38,EOMONTH(A156,0)&lt;=$C$39),E156*(1-$C$40)*(1-F$34),E156*(1-F$34)))+M156</f>
        <v>23444.257827978749</v>
      </c>
      <c r="X156" s="179">
        <f>IF(C156&gt;$C$10,0,IF(AND($C$38&gt;0,A156&gt;=$C$38,EOMONTH(A156,0)&lt;=$C$39),E156*(1-$C$40)*(1-G$34),E156*(1-G$34)))+M156</f>
        <v>21056.153234920748</v>
      </c>
      <c r="Y156" s="178">
        <f>IF(C156&gt;$C$10,0,IF(AND($C$38&gt;0,A156&gt;=$C$38,EOMONTH(A156,0)&lt;=$C$39),E156*(1-$C$40)*(1-H$34),E156*(1-H$34)))+M156</f>
        <v>19862.100938391748</v>
      </c>
      <c r="Z156" s="179">
        <f>IF(C156&gt;$C$10,0,IF(AND($C$38&gt;0,A156&gt;=$C$38,EOMONTH(A156,0)&lt;=$C$39),E156*(1-$C$40)*(1-I$34),E156*(1-I$34)))+M156</f>
        <v>18668.048641862748</v>
      </c>
      <c r="AA156" s="180">
        <f>IF(C156&gt;$C$10,0,IF(AND($C$38&gt;0,A156&gt;=$C$38,EOMONTH(A156,0)&lt;=$C$39),E156*(1-$C$40)*(1-J$34),E156*(1-J$34)))+M156</f>
        <v>17473.996345333748</v>
      </c>
    </row>
    <row r="157" spans="1:27" x14ac:dyDescent="0.25">
      <c r="A157" s="98">
        <f>EDATE($C$8,82)</f>
        <v>45847</v>
      </c>
      <c r="B157" s="99">
        <f>EDATE($C$8,83)-1</f>
        <v>45877</v>
      </c>
      <c r="C157" s="92">
        <f t="shared" si="31"/>
        <v>83</v>
      </c>
      <c r="D157" s="100">
        <f t="shared" si="21"/>
        <v>7</v>
      </c>
      <c r="E157" s="101">
        <f t="shared" si="22"/>
        <v>11940.52296529</v>
      </c>
      <c r="F157" s="94">
        <f t="shared" si="32"/>
        <v>11940.52296529</v>
      </c>
      <c r="G157" s="95">
        <f t="shared" si="33"/>
        <v>0</v>
      </c>
      <c r="H157" s="94">
        <f t="shared" si="23"/>
        <v>4477.6961119837497</v>
      </c>
      <c r="I157" s="94">
        <f t="shared" si="24"/>
        <v>2238.8480559918748</v>
      </c>
      <c r="J157" s="94">
        <f t="shared" si="25"/>
        <v>3731.4134266531246</v>
      </c>
      <c r="K157" s="94">
        <f t="shared" si="26"/>
        <v>703.85151203999999</v>
      </c>
      <c r="L157" s="94">
        <f t="shared" si="27"/>
        <v>351.92575601999999</v>
      </c>
      <c r="M157" s="94">
        <f t="shared" si="28"/>
        <v>11503.734862688749</v>
      </c>
      <c r="N157" s="101">
        <f t="shared" si="29"/>
        <v>23444.257827978749</v>
      </c>
      <c r="O157" s="102">
        <f t="shared" si="30"/>
        <v>1.56295052186525</v>
      </c>
      <c r="P157" s="101">
        <f>MAX(SUM(N157:N198)+S157,0)</f>
        <v>968097.28262612456</v>
      </c>
      <c r="Q157" s="101">
        <f>SUM(F157:F198)</f>
        <v>493490.26540102903</v>
      </c>
      <c r="R157" s="101">
        <f>SUM(M157:M198)</f>
        <v>474607.01722509658</v>
      </c>
      <c r="S157" s="103">
        <f>SUMPRODUCT(($C$55:$C$67)*($D$55:$D$67&gt;=$A157))</f>
        <v>0</v>
      </c>
      <c r="T157" s="150">
        <f>IF(C157&gt;$C$10,0,IF(AND($C$38&gt;0,A157&gt;=$C$38,EOMONTH(A157,0)&lt;=$C$39),E157*(1-$C$40)*(1-G$15),E157*(1-G$15)))+M157</f>
        <v>22250.205531449748</v>
      </c>
      <c r="U157" s="150">
        <f>IF(C157&gt;$C$10,0,IF(AND($C$38&gt;0,A157&gt;=$C$38,EOMONTH(A157,0)&lt;=$C$39),E157*(1-$C$40)*(1-H$15),E157*(1-H$15)))+M157</f>
        <v>21056.153234920748</v>
      </c>
      <c r="V157" s="150">
        <f>IF(C157&gt;$C$10,0,IF(AND($C$38&gt;0,A157&gt;=$C$38,EOMONTH(A157,0)&lt;=$C$39),E157*(1-$C$40)*(1-I$15),E157*(1-I$15)))+M157</f>
        <v>19862.100938391748</v>
      </c>
      <c r="W157" s="181">
        <f>IF(C157&gt;$C$10,0,IF(AND($C$38&gt;0,A157&gt;=$C$38,EOMONTH(A157,0)&lt;=$C$39),E157*(1-$C$40)*(1-F$34),E157*(1-F$34)))+M157</f>
        <v>23444.257827978749</v>
      </c>
      <c r="X157" s="179">
        <f>IF(C157&gt;$C$10,0,IF(AND($C$38&gt;0,A157&gt;=$C$38,EOMONTH(A157,0)&lt;=$C$39),E157*(1-$C$40)*(1-G$34),E157*(1-G$34)))+M157</f>
        <v>21056.153234920748</v>
      </c>
      <c r="Y157" s="178">
        <f>IF(C157&gt;$C$10,0,IF(AND($C$38&gt;0,A157&gt;=$C$38,EOMONTH(A157,0)&lt;=$C$39),E157*(1-$C$40)*(1-H$34),E157*(1-H$34)))+M157</f>
        <v>19862.100938391748</v>
      </c>
      <c r="Z157" s="179">
        <f>IF(C157&gt;$C$10,0,IF(AND($C$38&gt;0,A157&gt;=$C$38,EOMONTH(A157,0)&lt;=$C$39),E157*(1-$C$40)*(1-I$34),E157*(1-I$34)))+M157</f>
        <v>18668.048641862748</v>
      </c>
      <c r="AA157" s="180">
        <f>IF(C157&gt;$C$10,0,IF(AND($C$38&gt;0,A157&gt;=$C$38,EOMONTH(A157,0)&lt;=$C$39),E157*(1-$C$40)*(1-J$34),E157*(1-J$34)))+M157</f>
        <v>17473.996345333748</v>
      </c>
    </row>
    <row r="158" spans="1:27" x14ac:dyDescent="0.25">
      <c r="A158" s="104">
        <f>EDATE($C$8,83)</f>
        <v>45878</v>
      </c>
      <c r="B158" s="105">
        <f>EDATE($C$8,84)-1</f>
        <v>45908</v>
      </c>
      <c r="C158" s="92">
        <f t="shared" si="31"/>
        <v>84</v>
      </c>
      <c r="D158" s="106">
        <f t="shared" si="21"/>
        <v>7</v>
      </c>
      <c r="E158" s="107">
        <f t="shared" si="22"/>
        <v>11940.52296529</v>
      </c>
      <c r="F158" s="94">
        <f t="shared" si="32"/>
        <v>11940.52296529</v>
      </c>
      <c r="G158" s="95">
        <f t="shared" si="33"/>
        <v>0</v>
      </c>
      <c r="H158" s="94">
        <f t="shared" si="23"/>
        <v>4477.6961119837497</v>
      </c>
      <c r="I158" s="94">
        <f t="shared" si="24"/>
        <v>2238.8480559918748</v>
      </c>
      <c r="J158" s="94">
        <f t="shared" si="25"/>
        <v>3731.4134266531246</v>
      </c>
      <c r="K158" s="94">
        <f t="shared" si="26"/>
        <v>703.85151203999999</v>
      </c>
      <c r="L158" s="94">
        <f t="shared" si="27"/>
        <v>351.92575601999999</v>
      </c>
      <c r="M158" s="94">
        <f t="shared" si="28"/>
        <v>11503.734862688749</v>
      </c>
      <c r="N158" s="107">
        <f t="shared" si="29"/>
        <v>23444.257827978749</v>
      </c>
      <c r="O158" s="108">
        <f t="shared" si="30"/>
        <v>1.56295052186525</v>
      </c>
      <c r="P158" s="107">
        <f>MAX(SUM(N158:N198)+S158,0)</f>
        <v>944653.02479814575</v>
      </c>
      <c r="Q158" s="107">
        <f>SUM(F158:F198)</f>
        <v>481549.74243573903</v>
      </c>
      <c r="R158" s="107">
        <f>SUM(M158:M198)</f>
        <v>463103.28236240783</v>
      </c>
      <c r="S158" s="109">
        <f>SUMPRODUCT(($C$55:$C$67)*($D$55:$D$67&gt;=$A158))</f>
        <v>0</v>
      </c>
      <c r="T158" s="150">
        <f>IF(C158&gt;$C$10,0,IF(AND($C$38&gt;0,A158&gt;=$C$38,EOMONTH(A158,0)&lt;=$C$39),E158*(1-$C$40)*(1-G$15),E158*(1-G$15)))+M158</f>
        <v>22250.205531449748</v>
      </c>
      <c r="U158" s="150">
        <f>IF(C158&gt;$C$10,0,IF(AND($C$38&gt;0,A158&gt;=$C$38,EOMONTH(A158,0)&lt;=$C$39),E158*(1-$C$40)*(1-H$15),E158*(1-H$15)))+M158</f>
        <v>21056.153234920748</v>
      </c>
      <c r="V158" s="150">
        <f>IF(C158&gt;$C$10,0,IF(AND($C$38&gt;0,A158&gt;=$C$38,EOMONTH(A158,0)&lt;=$C$39),E158*(1-$C$40)*(1-I$15),E158*(1-I$15)))+M158</f>
        <v>19862.100938391748</v>
      </c>
      <c r="W158" s="181">
        <f>IF(C158&gt;$C$10,0,IF(AND($C$38&gt;0,A158&gt;=$C$38,EOMONTH(A158,0)&lt;=$C$39),E158*(1-$C$40)*(1-F$34),E158*(1-F$34)))+M158</f>
        <v>23444.257827978749</v>
      </c>
      <c r="X158" s="179">
        <f>IF(C158&gt;$C$10,0,IF(AND($C$38&gt;0,A158&gt;=$C$38,EOMONTH(A158,0)&lt;=$C$39),E158*(1-$C$40)*(1-G$34),E158*(1-G$34)))+M158</f>
        <v>21056.153234920748</v>
      </c>
      <c r="Y158" s="178">
        <f>IF(C158&gt;$C$10,0,IF(AND($C$38&gt;0,A158&gt;=$C$38,EOMONTH(A158,0)&lt;=$C$39),E158*(1-$C$40)*(1-H$34),E158*(1-H$34)))+M158</f>
        <v>19862.100938391748</v>
      </c>
      <c r="Z158" s="179">
        <f>IF(C158&gt;$C$10,0,IF(AND($C$38&gt;0,A158&gt;=$C$38,EOMONTH(A158,0)&lt;=$C$39),E158*(1-$C$40)*(1-I$34),E158*(1-I$34)))+M158</f>
        <v>18668.048641862748</v>
      </c>
      <c r="AA158" s="180">
        <f>IF(C158&gt;$C$10,0,IF(AND($C$38&gt;0,A158&gt;=$C$38,EOMONTH(A158,0)&lt;=$C$39),E158*(1-$C$40)*(1-J$34),E158*(1-J$34)))+M158</f>
        <v>17473.996345333748</v>
      </c>
    </row>
    <row r="159" spans="1:27" x14ac:dyDescent="0.25">
      <c r="A159" s="98">
        <f>EDATE($C$8,84)</f>
        <v>45909</v>
      </c>
      <c r="B159" s="99">
        <f>EDATE($C$8,85)-1</f>
        <v>45938</v>
      </c>
      <c r="C159" s="92">
        <f t="shared" si="31"/>
        <v>85</v>
      </c>
      <c r="D159" s="100">
        <f t="shared" si="21"/>
        <v>8</v>
      </c>
      <c r="E159" s="101">
        <f t="shared" si="22"/>
        <v>12298.7386542487</v>
      </c>
      <c r="F159" s="94">
        <f t="shared" si="32"/>
        <v>12298.7386542487</v>
      </c>
      <c r="G159" s="95">
        <f t="shared" si="33"/>
        <v>0</v>
      </c>
      <c r="H159" s="94">
        <f t="shared" si="23"/>
        <v>4612.0269953432626</v>
      </c>
      <c r="I159" s="94">
        <f t="shared" si="24"/>
        <v>2306.0134976716313</v>
      </c>
      <c r="J159" s="94">
        <f t="shared" si="25"/>
        <v>3843.3558294527188</v>
      </c>
      <c r="K159" s="94">
        <f t="shared" si="26"/>
        <v>717.92854228079989</v>
      </c>
      <c r="L159" s="94">
        <f t="shared" si="27"/>
        <v>358.96427114039994</v>
      </c>
      <c r="M159" s="94">
        <f t="shared" si="28"/>
        <v>11838.289135888814</v>
      </c>
      <c r="N159" s="101">
        <f t="shared" si="29"/>
        <v>24137.027790137516</v>
      </c>
      <c r="O159" s="102">
        <f t="shared" si="30"/>
        <v>1.6091351860091676</v>
      </c>
      <c r="P159" s="101">
        <f>MAX(SUM(N159:N198)+S159,0)</f>
        <v>921208.76697016705</v>
      </c>
      <c r="Q159" s="101">
        <f>SUM(F159:F198)</f>
        <v>469609.21947044902</v>
      </c>
      <c r="R159" s="101">
        <f>SUM(M159:M198)</f>
        <v>451599.54749971908</v>
      </c>
      <c r="S159" s="103">
        <f>SUMPRODUCT(($C$55:$C$67)*($D$55:$D$67&gt;=$A159))</f>
        <v>0</v>
      </c>
      <c r="T159" s="150">
        <f>IF(C159&gt;$C$10,0,IF(AND($C$38&gt;0,A159&gt;=$C$38,EOMONTH(A159,0)&lt;=$C$39),E159*(1-$C$40)*(1-G$15),E159*(1-G$15)))+M159</f>
        <v>22907.153924712642</v>
      </c>
      <c r="U159" s="150">
        <f>IF(C159&gt;$C$10,0,IF(AND($C$38&gt;0,A159&gt;=$C$38,EOMONTH(A159,0)&lt;=$C$39),E159*(1-$C$40)*(1-H$15),E159*(1-H$15)))+M159</f>
        <v>21677.280059287776</v>
      </c>
      <c r="V159" s="150">
        <f>IF(C159&gt;$C$10,0,IF(AND($C$38&gt;0,A159&gt;=$C$38,EOMONTH(A159,0)&lt;=$C$39),E159*(1-$C$40)*(1-I$15),E159*(1-I$15)))+M159</f>
        <v>20447.406193862902</v>
      </c>
      <c r="W159" s="181">
        <f>IF(C159&gt;$C$10,0,IF(AND($C$38&gt;0,A159&gt;=$C$38,EOMONTH(A159,0)&lt;=$C$39),E159*(1-$C$40)*(1-F$34),E159*(1-F$34)))+M159</f>
        <v>24137.027790137516</v>
      </c>
      <c r="X159" s="179">
        <f>IF(C159&gt;$C$10,0,IF(AND($C$38&gt;0,A159&gt;=$C$38,EOMONTH(A159,0)&lt;=$C$39),E159*(1-$C$40)*(1-G$34),E159*(1-G$34)))+M159</f>
        <v>21677.280059287776</v>
      </c>
      <c r="Y159" s="178">
        <f>IF(C159&gt;$C$10,0,IF(AND($C$38&gt;0,A159&gt;=$C$38,EOMONTH(A159,0)&lt;=$C$39),E159*(1-$C$40)*(1-H$34),E159*(1-H$34)))+M159</f>
        <v>20447.406193862902</v>
      </c>
      <c r="Z159" s="179">
        <f>IF(C159&gt;$C$10,0,IF(AND($C$38&gt;0,A159&gt;=$C$38,EOMONTH(A159,0)&lt;=$C$39),E159*(1-$C$40)*(1-I$34),E159*(1-I$34)))+M159</f>
        <v>19217.532328438036</v>
      </c>
      <c r="AA159" s="180">
        <f>IF(C159&gt;$C$10,0,IF(AND($C$38&gt;0,A159&gt;=$C$38,EOMONTH(A159,0)&lt;=$C$39),E159*(1-$C$40)*(1-J$34),E159*(1-J$34)))+M159</f>
        <v>17987.658463013162</v>
      </c>
    </row>
    <row r="160" spans="1:27" x14ac:dyDescent="0.25">
      <c r="A160" s="104">
        <f>EDATE($C$8,85)</f>
        <v>45939</v>
      </c>
      <c r="B160" s="105">
        <f>EDATE($C$8,86)-1</f>
        <v>45969</v>
      </c>
      <c r="C160" s="92">
        <f t="shared" si="31"/>
        <v>86</v>
      </c>
      <c r="D160" s="106">
        <f t="shared" si="21"/>
        <v>8</v>
      </c>
      <c r="E160" s="107">
        <f t="shared" si="22"/>
        <v>12298.7386542487</v>
      </c>
      <c r="F160" s="94">
        <f t="shared" si="32"/>
        <v>12298.7386542487</v>
      </c>
      <c r="G160" s="95">
        <f t="shared" si="33"/>
        <v>0</v>
      </c>
      <c r="H160" s="94">
        <f t="shared" si="23"/>
        <v>4612.0269953432626</v>
      </c>
      <c r="I160" s="94">
        <f t="shared" si="24"/>
        <v>2306.0134976716313</v>
      </c>
      <c r="J160" s="94">
        <f t="shared" si="25"/>
        <v>3843.3558294527188</v>
      </c>
      <c r="K160" s="94">
        <f t="shared" si="26"/>
        <v>717.92854228079989</v>
      </c>
      <c r="L160" s="94">
        <f t="shared" si="27"/>
        <v>358.96427114039994</v>
      </c>
      <c r="M160" s="94">
        <f t="shared" si="28"/>
        <v>11838.289135888814</v>
      </c>
      <c r="N160" s="107">
        <f t="shared" si="29"/>
        <v>24137.027790137516</v>
      </c>
      <c r="O160" s="108">
        <f t="shared" si="30"/>
        <v>1.6091351860091676</v>
      </c>
      <c r="P160" s="107">
        <f>MAX(SUM(N160:N198)+S160,0)</f>
        <v>897071.73918002949</v>
      </c>
      <c r="Q160" s="107">
        <f>SUM(F160:F198)</f>
        <v>457310.48081620032</v>
      </c>
      <c r="R160" s="107">
        <f>SUM(M160:M198)</f>
        <v>439761.25836383022</v>
      </c>
      <c r="S160" s="109">
        <f>SUMPRODUCT(($C$55:$C$67)*($D$55:$D$67&gt;=$A160))</f>
        <v>0</v>
      </c>
      <c r="T160" s="150">
        <f>IF(C160&gt;$C$10,0,IF(AND($C$38&gt;0,A160&gt;=$C$38,EOMONTH(A160,0)&lt;=$C$39),E160*(1-$C$40)*(1-G$15),E160*(1-G$15)))+M160</f>
        <v>22907.153924712642</v>
      </c>
      <c r="U160" s="150">
        <f>IF(C160&gt;$C$10,0,IF(AND($C$38&gt;0,A160&gt;=$C$38,EOMONTH(A160,0)&lt;=$C$39),E160*(1-$C$40)*(1-H$15),E160*(1-H$15)))+M160</f>
        <v>21677.280059287776</v>
      </c>
      <c r="V160" s="150">
        <f>IF(C160&gt;$C$10,0,IF(AND($C$38&gt;0,A160&gt;=$C$38,EOMONTH(A160,0)&lt;=$C$39),E160*(1-$C$40)*(1-I$15),E160*(1-I$15)))+M160</f>
        <v>20447.406193862902</v>
      </c>
      <c r="W160" s="181">
        <f>IF(C160&gt;$C$10,0,IF(AND($C$38&gt;0,A160&gt;=$C$38,EOMONTH(A160,0)&lt;=$C$39),E160*(1-$C$40)*(1-F$34),E160*(1-F$34)))+M160</f>
        <v>24137.027790137516</v>
      </c>
      <c r="X160" s="179">
        <f>IF(C160&gt;$C$10,0,IF(AND($C$38&gt;0,A160&gt;=$C$38,EOMONTH(A160,0)&lt;=$C$39),E160*(1-$C$40)*(1-G$34),E160*(1-G$34)))+M160</f>
        <v>21677.280059287776</v>
      </c>
      <c r="Y160" s="178">
        <f>IF(C160&gt;$C$10,0,IF(AND($C$38&gt;0,A160&gt;=$C$38,EOMONTH(A160,0)&lt;=$C$39),E160*(1-$C$40)*(1-H$34),E160*(1-H$34)))+M160</f>
        <v>20447.406193862902</v>
      </c>
      <c r="Z160" s="179">
        <f>IF(C160&gt;$C$10,0,IF(AND($C$38&gt;0,A160&gt;=$C$38,EOMONTH(A160,0)&lt;=$C$39),E160*(1-$C$40)*(1-I$34),E160*(1-I$34)))+M160</f>
        <v>19217.532328438036</v>
      </c>
      <c r="AA160" s="180">
        <f>IF(C160&gt;$C$10,0,IF(AND($C$38&gt;0,A160&gt;=$C$38,EOMONTH(A160,0)&lt;=$C$39),E160*(1-$C$40)*(1-J$34),E160*(1-J$34)))+M160</f>
        <v>17987.658463013162</v>
      </c>
    </row>
    <row r="161" spans="1:27" x14ac:dyDescent="0.25">
      <c r="A161" s="98">
        <f>EDATE($C$8,86)</f>
        <v>45970</v>
      </c>
      <c r="B161" s="99">
        <f>EDATE($C$8,87)-1</f>
        <v>45999</v>
      </c>
      <c r="C161" s="92">
        <f t="shared" si="31"/>
        <v>87</v>
      </c>
      <c r="D161" s="100">
        <f t="shared" si="21"/>
        <v>8</v>
      </c>
      <c r="E161" s="101">
        <f t="shared" si="22"/>
        <v>12298.7386542487</v>
      </c>
      <c r="F161" s="94">
        <f t="shared" si="32"/>
        <v>12298.7386542487</v>
      </c>
      <c r="G161" s="95">
        <f t="shared" si="33"/>
        <v>0</v>
      </c>
      <c r="H161" s="94">
        <f t="shared" si="23"/>
        <v>4612.0269953432626</v>
      </c>
      <c r="I161" s="94">
        <f t="shared" si="24"/>
        <v>2306.0134976716313</v>
      </c>
      <c r="J161" s="94">
        <f t="shared" si="25"/>
        <v>3843.3558294527188</v>
      </c>
      <c r="K161" s="94">
        <f t="shared" si="26"/>
        <v>717.92854228079989</v>
      </c>
      <c r="L161" s="94">
        <f t="shared" si="27"/>
        <v>358.96427114039994</v>
      </c>
      <c r="M161" s="94">
        <f t="shared" si="28"/>
        <v>11838.289135888814</v>
      </c>
      <c r="N161" s="101">
        <f t="shared" si="29"/>
        <v>24137.027790137516</v>
      </c>
      <c r="O161" s="102">
        <f t="shared" si="30"/>
        <v>1.6091351860091676</v>
      </c>
      <c r="P161" s="101">
        <f>MAX(SUM(N161:N198)+S161,0)</f>
        <v>872934.71138989192</v>
      </c>
      <c r="Q161" s="101">
        <f>SUM(F161:F198)</f>
        <v>445011.74216195161</v>
      </c>
      <c r="R161" s="101">
        <f>SUM(M161:M198)</f>
        <v>427922.96922794142</v>
      </c>
      <c r="S161" s="103">
        <f>SUMPRODUCT(($C$55:$C$67)*($D$55:$D$67&gt;=$A161))</f>
        <v>0</v>
      </c>
      <c r="T161" s="150">
        <f>IF(C161&gt;$C$10,0,IF(AND($C$38&gt;0,A161&gt;=$C$38,EOMONTH(A161,0)&lt;=$C$39),E161*(1-$C$40)*(1-G$15),E161*(1-G$15)))+M161</f>
        <v>22907.153924712642</v>
      </c>
      <c r="U161" s="150">
        <f>IF(C161&gt;$C$10,0,IF(AND($C$38&gt;0,A161&gt;=$C$38,EOMONTH(A161,0)&lt;=$C$39),E161*(1-$C$40)*(1-H$15),E161*(1-H$15)))+M161</f>
        <v>21677.280059287776</v>
      </c>
      <c r="V161" s="150">
        <f>IF(C161&gt;$C$10,0,IF(AND($C$38&gt;0,A161&gt;=$C$38,EOMONTH(A161,0)&lt;=$C$39),E161*(1-$C$40)*(1-I$15),E161*(1-I$15)))+M161</f>
        <v>20447.406193862902</v>
      </c>
      <c r="W161" s="181">
        <f>IF(C161&gt;$C$10,0,IF(AND($C$38&gt;0,A161&gt;=$C$38,EOMONTH(A161,0)&lt;=$C$39),E161*(1-$C$40)*(1-F$34),E161*(1-F$34)))+M161</f>
        <v>24137.027790137516</v>
      </c>
      <c r="X161" s="179">
        <f>IF(C161&gt;$C$10,0,IF(AND($C$38&gt;0,A161&gt;=$C$38,EOMONTH(A161,0)&lt;=$C$39),E161*(1-$C$40)*(1-G$34),E161*(1-G$34)))+M161</f>
        <v>21677.280059287776</v>
      </c>
      <c r="Y161" s="178">
        <f>IF(C161&gt;$C$10,0,IF(AND($C$38&gt;0,A161&gt;=$C$38,EOMONTH(A161,0)&lt;=$C$39),E161*(1-$C$40)*(1-H$34),E161*(1-H$34)))+M161</f>
        <v>20447.406193862902</v>
      </c>
      <c r="Z161" s="179">
        <f>IF(C161&gt;$C$10,0,IF(AND($C$38&gt;0,A161&gt;=$C$38,EOMONTH(A161,0)&lt;=$C$39),E161*(1-$C$40)*(1-I$34),E161*(1-I$34)))+M161</f>
        <v>19217.532328438036</v>
      </c>
      <c r="AA161" s="180">
        <f>IF(C161&gt;$C$10,0,IF(AND($C$38&gt;0,A161&gt;=$C$38,EOMONTH(A161,0)&lt;=$C$39),E161*(1-$C$40)*(1-J$34),E161*(1-J$34)))+M161</f>
        <v>17987.658463013162</v>
      </c>
    </row>
    <row r="162" spans="1:27" x14ac:dyDescent="0.25">
      <c r="A162" s="104">
        <f>EDATE($C$8,87)</f>
        <v>46000</v>
      </c>
      <c r="B162" s="105">
        <f>EDATE($C$8,88)-1</f>
        <v>46030</v>
      </c>
      <c r="C162" s="92">
        <f t="shared" si="31"/>
        <v>88</v>
      </c>
      <c r="D162" s="106">
        <f t="shared" si="21"/>
        <v>8</v>
      </c>
      <c r="E162" s="107">
        <f t="shared" si="22"/>
        <v>12298.7386542487</v>
      </c>
      <c r="F162" s="94">
        <f t="shared" si="32"/>
        <v>12298.7386542487</v>
      </c>
      <c r="G162" s="95">
        <f t="shared" si="33"/>
        <v>0</v>
      </c>
      <c r="H162" s="94">
        <f t="shared" si="23"/>
        <v>4612.0269953432626</v>
      </c>
      <c r="I162" s="94">
        <f t="shared" si="24"/>
        <v>2306.0134976716313</v>
      </c>
      <c r="J162" s="94">
        <f t="shared" si="25"/>
        <v>3843.3558294527188</v>
      </c>
      <c r="K162" s="94">
        <f t="shared" si="26"/>
        <v>717.92854228079989</v>
      </c>
      <c r="L162" s="94">
        <f t="shared" si="27"/>
        <v>358.96427114039994</v>
      </c>
      <c r="M162" s="94">
        <f t="shared" si="28"/>
        <v>11838.289135888814</v>
      </c>
      <c r="N162" s="107">
        <f t="shared" si="29"/>
        <v>24137.027790137516</v>
      </c>
      <c r="O162" s="108">
        <f t="shared" si="30"/>
        <v>1.6091351860091676</v>
      </c>
      <c r="P162" s="107">
        <f>MAX(SUM(N162:N198)+S162,0)</f>
        <v>848797.68359975435</v>
      </c>
      <c r="Q162" s="107">
        <f>SUM(F162:F198)</f>
        <v>432713.00350770284</v>
      </c>
      <c r="R162" s="107">
        <f>SUM(M162:M198)</f>
        <v>416084.68009205256</v>
      </c>
      <c r="S162" s="109">
        <f>SUMPRODUCT(($C$55:$C$67)*($D$55:$D$67&gt;=$A162))</f>
        <v>0</v>
      </c>
      <c r="T162" s="150">
        <f>IF(C162&gt;$C$10,0,IF(AND($C$38&gt;0,A162&gt;=$C$38,EOMONTH(A162,0)&lt;=$C$39),E162*(1-$C$40)*(1-G$15),E162*(1-G$15)))+M162</f>
        <v>22907.153924712642</v>
      </c>
      <c r="U162" s="150">
        <f>IF(C162&gt;$C$10,0,IF(AND($C$38&gt;0,A162&gt;=$C$38,EOMONTH(A162,0)&lt;=$C$39),E162*(1-$C$40)*(1-H$15),E162*(1-H$15)))+M162</f>
        <v>21677.280059287776</v>
      </c>
      <c r="V162" s="150">
        <f>IF(C162&gt;$C$10,0,IF(AND($C$38&gt;0,A162&gt;=$C$38,EOMONTH(A162,0)&lt;=$C$39),E162*(1-$C$40)*(1-I$15),E162*(1-I$15)))+M162</f>
        <v>20447.406193862902</v>
      </c>
      <c r="W162" s="181">
        <f>IF(C162&gt;$C$10,0,IF(AND($C$38&gt;0,A162&gt;=$C$38,EOMONTH(A162,0)&lt;=$C$39),E162*(1-$C$40)*(1-F$34),E162*(1-F$34)))+M162</f>
        <v>24137.027790137516</v>
      </c>
      <c r="X162" s="179">
        <f>IF(C162&gt;$C$10,0,IF(AND($C$38&gt;0,A162&gt;=$C$38,EOMONTH(A162,0)&lt;=$C$39),E162*(1-$C$40)*(1-G$34),E162*(1-G$34)))+M162</f>
        <v>21677.280059287776</v>
      </c>
      <c r="Y162" s="178">
        <f>IF(C162&gt;$C$10,0,IF(AND($C$38&gt;0,A162&gt;=$C$38,EOMONTH(A162,0)&lt;=$C$39),E162*(1-$C$40)*(1-H$34),E162*(1-H$34)))+M162</f>
        <v>20447.406193862902</v>
      </c>
      <c r="Z162" s="179">
        <f>IF(C162&gt;$C$10,0,IF(AND($C$38&gt;0,A162&gt;=$C$38,EOMONTH(A162,0)&lt;=$C$39),E162*(1-$C$40)*(1-I$34),E162*(1-I$34)))+M162</f>
        <v>19217.532328438036</v>
      </c>
      <c r="AA162" s="180">
        <f>IF(C162&gt;$C$10,0,IF(AND($C$38&gt;0,A162&gt;=$C$38,EOMONTH(A162,0)&lt;=$C$39),E162*(1-$C$40)*(1-J$34),E162*(1-J$34)))+M162</f>
        <v>17987.658463013162</v>
      </c>
    </row>
    <row r="163" spans="1:27" x14ac:dyDescent="0.25">
      <c r="A163" s="98">
        <f>EDATE($C$8,88)</f>
        <v>46031</v>
      </c>
      <c r="B163" s="99">
        <f>EDATE($C$8,89)-1</f>
        <v>46061</v>
      </c>
      <c r="C163" s="92">
        <f t="shared" si="31"/>
        <v>89</v>
      </c>
      <c r="D163" s="100">
        <f t="shared" si="21"/>
        <v>8</v>
      </c>
      <c r="E163" s="101">
        <f t="shared" si="22"/>
        <v>12298.7386542487</v>
      </c>
      <c r="F163" s="94">
        <f t="shared" si="32"/>
        <v>12298.7386542487</v>
      </c>
      <c r="G163" s="95">
        <f t="shared" si="33"/>
        <v>0</v>
      </c>
      <c r="H163" s="94">
        <f t="shared" si="23"/>
        <v>4612.0269953432626</v>
      </c>
      <c r="I163" s="94">
        <f t="shared" si="24"/>
        <v>2306.0134976716313</v>
      </c>
      <c r="J163" s="94">
        <f t="shared" si="25"/>
        <v>3843.3558294527188</v>
      </c>
      <c r="K163" s="94">
        <f t="shared" si="26"/>
        <v>717.92854228079989</v>
      </c>
      <c r="L163" s="94">
        <f t="shared" si="27"/>
        <v>358.96427114039994</v>
      </c>
      <c r="M163" s="94">
        <f t="shared" si="28"/>
        <v>11838.289135888814</v>
      </c>
      <c r="N163" s="101">
        <f t="shared" si="29"/>
        <v>24137.027790137516</v>
      </c>
      <c r="O163" s="102">
        <f t="shared" si="30"/>
        <v>1.6091351860091676</v>
      </c>
      <c r="P163" s="101">
        <f>MAX(SUM(N163:N198)+S163,0)</f>
        <v>824660.65580961702</v>
      </c>
      <c r="Q163" s="101">
        <f>SUM(F163:F198)</f>
        <v>420414.26485345414</v>
      </c>
      <c r="R163" s="101">
        <f>SUM(M163:M198)</f>
        <v>404246.39095616376</v>
      </c>
      <c r="S163" s="103">
        <f>SUMPRODUCT(($C$55:$C$67)*($D$55:$D$67&gt;=$A163))</f>
        <v>0</v>
      </c>
      <c r="T163" s="150">
        <f>IF(C163&gt;$C$10,0,IF(AND($C$38&gt;0,A163&gt;=$C$38,EOMONTH(A163,0)&lt;=$C$39),E163*(1-$C$40)*(1-G$15),E163*(1-G$15)))+M163</f>
        <v>22907.153924712642</v>
      </c>
      <c r="U163" s="150">
        <f>IF(C163&gt;$C$10,0,IF(AND($C$38&gt;0,A163&gt;=$C$38,EOMONTH(A163,0)&lt;=$C$39),E163*(1-$C$40)*(1-H$15),E163*(1-H$15)))+M163</f>
        <v>21677.280059287776</v>
      </c>
      <c r="V163" s="150">
        <f>IF(C163&gt;$C$10,0,IF(AND($C$38&gt;0,A163&gt;=$C$38,EOMONTH(A163,0)&lt;=$C$39),E163*(1-$C$40)*(1-I$15),E163*(1-I$15)))+M163</f>
        <v>20447.406193862902</v>
      </c>
      <c r="W163" s="181">
        <f>IF(C163&gt;$C$10,0,IF(AND($C$38&gt;0,A163&gt;=$C$38,EOMONTH(A163,0)&lt;=$C$39),E163*(1-$C$40)*(1-F$34),E163*(1-F$34)))+M163</f>
        <v>24137.027790137516</v>
      </c>
      <c r="X163" s="179">
        <f>IF(C163&gt;$C$10,0,IF(AND($C$38&gt;0,A163&gt;=$C$38,EOMONTH(A163,0)&lt;=$C$39),E163*(1-$C$40)*(1-G$34),E163*(1-G$34)))+M163</f>
        <v>21677.280059287776</v>
      </c>
      <c r="Y163" s="178">
        <f>IF(C163&gt;$C$10,0,IF(AND($C$38&gt;0,A163&gt;=$C$38,EOMONTH(A163,0)&lt;=$C$39),E163*(1-$C$40)*(1-H$34),E163*(1-H$34)))+M163</f>
        <v>20447.406193862902</v>
      </c>
      <c r="Z163" s="179">
        <f>IF(C163&gt;$C$10,0,IF(AND($C$38&gt;0,A163&gt;=$C$38,EOMONTH(A163,0)&lt;=$C$39),E163*(1-$C$40)*(1-I$34),E163*(1-I$34)))+M163</f>
        <v>19217.532328438036</v>
      </c>
      <c r="AA163" s="180">
        <f>IF(C163&gt;$C$10,0,IF(AND($C$38&gt;0,A163&gt;=$C$38,EOMONTH(A163,0)&lt;=$C$39),E163*(1-$C$40)*(1-J$34),E163*(1-J$34)))+M163</f>
        <v>17987.658463013162</v>
      </c>
    </row>
    <row r="164" spans="1:27" x14ac:dyDescent="0.25">
      <c r="A164" s="104">
        <f>EDATE($C$8,89)</f>
        <v>46062</v>
      </c>
      <c r="B164" s="105">
        <f>EDATE($C$8,90)-1</f>
        <v>46089</v>
      </c>
      <c r="C164" s="92">
        <f t="shared" si="31"/>
        <v>90</v>
      </c>
      <c r="D164" s="106">
        <f t="shared" si="21"/>
        <v>8</v>
      </c>
      <c r="E164" s="107">
        <f t="shared" si="22"/>
        <v>12298.7386542487</v>
      </c>
      <c r="F164" s="94">
        <f t="shared" si="32"/>
        <v>12298.7386542487</v>
      </c>
      <c r="G164" s="95">
        <f t="shared" si="33"/>
        <v>0</v>
      </c>
      <c r="H164" s="94">
        <f t="shared" si="23"/>
        <v>4612.0269953432626</v>
      </c>
      <c r="I164" s="94">
        <f t="shared" si="24"/>
        <v>2306.0134976716313</v>
      </c>
      <c r="J164" s="94">
        <f t="shared" si="25"/>
        <v>3843.3558294527188</v>
      </c>
      <c r="K164" s="94">
        <f t="shared" si="26"/>
        <v>717.92854228079989</v>
      </c>
      <c r="L164" s="94">
        <f t="shared" si="27"/>
        <v>358.96427114039994</v>
      </c>
      <c r="M164" s="94">
        <f t="shared" si="28"/>
        <v>11838.289135888814</v>
      </c>
      <c r="N164" s="107">
        <f t="shared" si="29"/>
        <v>24137.027790137516</v>
      </c>
      <c r="O164" s="108">
        <f t="shared" si="30"/>
        <v>1.6091351860091676</v>
      </c>
      <c r="P164" s="107">
        <f>MAX(SUM(N164:N198)+S164,0)</f>
        <v>800523.62801947957</v>
      </c>
      <c r="Q164" s="107">
        <f>SUM(F164:F198)</f>
        <v>408115.52619920543</v>
      </c>
      <c r="R164" s="107">
        <f>SUM(M164:M198)</f>
        <v>392408.1018202749</v>
      </c>
      <c r="S164" s="109">
        <f>SUMPRODUCT(($C$55:$C$67)*($D$55:$D$67&gt;=$A164))</f>
        <v>0</v>
      </c>
      <c r="T164" s="150">
        <f>IF(C164&gt;$C$10,0,IF(AND($C$38&gt;0,A164&gt;=$C$38,EOMONTH(A164,0)&lt;=$C$39),E164*(1-$C$40)*(1-G$15),E164*(1-G$15)))+M164</f>
        <v>22907.153924712642</v>
      </c>
      <c r="U164" s="150">
        <f>IF(C164&gt;$C$10,0,IF(AND($C$38&gt;0,A164&gt;=$C$38,EOMONTH(A164,0)&lt;=$C$39),E164*(1-$C$40)*(1-H$15),E164*(1-H$15)))+M164</f>
        <v>21677.280059287776</v>
      </c>
      <c r="V164" s="150">
        <f>IF(C164&gt;$C$10,0,IF(AND($C$38&gt;0,A164&gt;=$C$38,EOMONTH(A164,0)&lt;=$C$39),E164*(1-$C$40)*(1-I$15),E164*(1-I$15)))+M164</f>
        <v>20447.406193862902</v>
      </c>
      <c r="W164" s="181">
        <f>IF(C164&gt;$C$10,0,IF(AND($C$38&gt;0,A164&gt;=$C$38,EOMONTH(A164,0)&lt;=$C$39),E164*(1-$C$40)*(1-F$34),E164*(1-F$34)))+M164</f>
        <v>24137.027790137516</v>
      </c>
      <c r="X164" s="179">
        <f>IF(C164&gt;$C$10,0,IF(AND($C$38&gt;0,A164&gt;=$C$38,EOMONTH(A164,0)&lt;=$C$39),E164*(1-$C$40)*(1-G$34),E164*(1-G$34)))+M164</f>
        <v>21677.280059287776</v>
      </c>
      <c r="Y164" s="178">
        <f>IF(C164&gt;$C$10,0,IF(AND($C$38&gt;0,A164&gt;=$C$38,EOMONTH(A164,0)&lt;=$C$39),E164*(1-$C$40)*(1-H$34),E164*(1-H$34)))+M164</f>
        <v>20447.406193862902</v>
      </c>
      <c r="Z164" s="179">
        <f>IF(C164&gt;$C$10,0,IF(AND($C$38&gt;0,A164&gt;=$C$38,EOMONTH(A164,0)&lt;=$C$39),E164*(1-$C$40)*(1-I$34),E164*(1-I$34)))+M164</f>
        <v>19217.532328438036</v>
      </c>
      <c r="AA164" s="180">
        <f>IF(C164&gt;$C$10,0,IF(AND($C$38&gt;0,A164&gt;=$C$38,EOMONTH(A164,0)&lt;=$C$39),E164*(1-$C$40)*(1-J$34),E164*(1-J$34)))+M164</f>
        <v>17987.658463013162</v>
      </c>
    </row>
    <row r="165" spans="1:27" x14ac:dyDescent="0.25">
      <c r="A165" s="98">
        <f>EDATE($C$8,90)</f>
        <v>46090</v>
      </c>
      <c r="B165" s="99">
        <f>EDATE($C$8,91)-1</f>
        <v>46120</v>
      </c>
      <c r="C165" s="92">
        <f t="shared" si="31"/>
        <v>91</v>
      </c>
      <c r="D165" s="100">
        <f t="shared" si="21"/>
        <v>8</v>
      </c>
      <c r="E165" s="101">
        <f t="shared" si="22"/>
        <v>12298.7386542487</v>
      </c>
      <c r="F165" s="94">
        <f t="shared" si="32"/>
        <v>12298.7386542487</v>
      </c>
      <c r="G165" s="95">
        <f t="shared" si="33"/>
        <v>0</v>
      </c>
      <c r="H165" s="94">
        <f t="shared" si="23"/>
        <v>4612.0269953432626</v>
      </c>
      <c r="I165" s="94">
        <f t="shared" si="24"/>
        <v>2306.0134976716313</v>
      </c>
      <c r="J165" s="94">
        <f t="shared" si="25"/>
        <v>3843.3558294527188</v>
      </c>
      <c r="K165" s="94">
        <f t="shared" si="26"/>
        <v>717.92854228079989</v>
      </c>
      <c r="L165" s="94">
        <f t="shared" si="27"/>
        <v>358.96427114039994</v>
      </c>
      <c r="M165" s="94">
        <f t="shared" si="28"/>
        <v>11838.289135888814</v>
      </c>
      <c r="N165" s="101">
        <f t="shared" si="29"/>
        <v>24137.027790137516</v>
      </c>
      <c r="O165" s="102">
        <f t="shared" si="30"/>
        <v>1.6091351860091676</v>
      </c>
      <c r="P165" s="101">
        <f>MAX(SUM(N165:N198)+S165,0)</f>
        <v>776386.60022934212</v>
      </c>
      <c r="Q165" s="101">
        <f>SUM(F165:F198)</f>
        <v>395816.78754495672</v>
      </c>
      <c r="R165" s="101">
        <f>SUM(M165:M198)</f>
        <v>380569.8126843861</v>
      </c>
      <c r="S165" s="103">
        <f>SUMPRODUCT(($C$55:$C$67)*($D$55:$D$67&gt;=$A165))</f>
        <v>0</v>
      </c>
      <c r="T165" s="150">
        <f>IF(C165&gt;$C$10,0,IF(AND($C$38&gt;0,A165&gt;=$C$38,EOMONTH(A165,0)&lt;=$C$39),E165*(1-$C$40)*(1-G$15),E165*(1-G$15)))+M165</f>
        <v>22907.153924712642</v>
      </c>
      <c r="U165" s="150">
        <f>IF(C165&gt;$C$10,0,IF(AND($C$38&gt;0,A165&gt;=$C$38,EOMONTH(A165,0)&lt;=$C$39),E165*(1-$C$40)*(1-H$15),E165*(1-H$15)))+M165</f>
        <v>21677.280059287776</v>
      </c>
      <c r="V165" s="150">
        <f>IF(C165&gt;$C$10,0,IF(AND($C$38&gt;0,A165&gt;=$C$38,EOMONTH(A165,0)&lt;=$C$39),E165*(1-$C$40)*(1-I$15),E165*(1-I$15)))+M165</f>
        <v>20447.406193862902</v>
      </c>
      <c r="W165" s="181">
        <f>IF(C165&gt;$C$10,0,IF(AND($C$38&gt;0,A165&gt;=$C$38,EOMONTH(A165,0)&lt;=$C$39),E165*(1-$C$40)*(1-F$34),E165*(1-F$34)))+M165</f>
        <v>24137.027790137516</v>
      </c>
      <c r="X165" s="179">
        <f>IF(C165&gt;$C$10,0,IF(AND($C$38&gt;0,A165&gt;=$C$38,EOMONTH(A165,0)&lt;=$C$39),E165*(1-$C$40)*(1-G$34),E165*(1-G$34)))+M165</f>
        <v>21677.280059287776</v>
      </c>
      <c r="Y165" s="178">
        <f>IF(C165&gt;$C$10,0,IF(AND($C$38&gt;0,A165&gt;=$C$38,EOMONTH(A165,0)&lt;=$C$39),E165*(1-$C$40)*(1-H$34),E165*(1-H$34)))+M165</f>
        <v>20447.406193862902</v>
      </c>
      <c r="Z165" s="179">
        <f>IF(C165&gt;$C$10,0,IF(AND($C$38&gt;0,A165&gt;=$C$38,EOMONTH(A165,0)&lt;=$C$39),E165*(1-$C$40)*(1-I$34),E165*(1-I$34)))+M165</f>
        <v>19217.532328438036</v>
      </c>
      <c r="AA165" s="180">
        <f>IF(C165&gt;$C$10,0,IF(AND($C$38&gt;0,A165&gt;=$C$38,EOMONTH(A165,0)&lt;=$C$39),E165*(1-$C$40)*(1-J$34),E165*(1-J$34)))+M165</f>
        <v>17987.658463013162</v>
      </c>
    </row>
    <row r="166" spans="1:27" x14ac:dyDescent="0.25">
      <c r="A166" s="104">
        <f>EDATE($C$8,91)</f>
        <v>46121</v>
      </c>
      <c r="B166" s="105">
        <f>EDATE($C$8,92)-1</f>
        <v>46150</v>
      </c>
      <c r="C166" s="92">
        <f t="shared" si="31"/>
        <v>92</v>
      </c>
      <c r="D166" s="106">
        <f t="shared" si="21"/>
        <v>8</v>
      </c>
      <c r="E166" s="107">
        <f t="shared" si="22"/>
        <v>12298.7386542487</v>
      </c>
      <c r="F166" s="94">
        <f t="shared" si="32"/>
        <v>12298.7386542487</v>
      </c>
      <c r="G166" s="95">
        <f t="shared" si="33"/>
        <v>0</v>
      </c>
      <c r="H166" s="94">
        <f t="shared" si="23"/>
        <v>4612.0269953432626</v>
      </c>
      <c r="I166" s="94">
        <f t="shared" si="24"/>
        <v>2306.0134976716313</v>
      </c>
      <c r="J166" s="94">
        <f t="shared" si="25"/>
        <v>3843.3558294527188</v>
      </c>
      <c r="K166" s="94">
        <f t="shared" si="26"/>
        <v>717.92854228079989</v>
      </c>
      <c r="L166" s="94">
        <f t="shared" si="27"/>
        <v>358.96427114039994</v>
      </c>
      <c r="M166" s="94">
        <f t="shared" si="28"/>
        <v>11838.289135888814</v>
      </c>
      <c r="N166" s="107">
        <f t="shared" si="29"/>
        <v>24137.027790137516</v>
      </c>
      <c r="O166" s="108">
        <f t="shared" si="30"/>
        <v>1.6091351860091676</v>
      </c>
      <c r="P166" s="107">
        <f>MAX(SUM(N166:N198)+S166,0)</f>
        <v>752249.57243920467</v>
      </c>
      <c r="Q166" s="107">
        <f>SUM(F166:F198)</f>
        <v>383518.04889070801</v>
      </c>
      <c r="R166" s="107">
        <f>SUM(M166:M198)</f>
        <v>368731.52354849724</v>
      </c>
      <c r="S166" s="109">
        <f>SUMPRODUCT(($C$55:$C$67)*($D$55:$D$67&gt;=$A166))</f>
        <v>0</v>
      </c>
      <c r="T166" s="150">
        <f>IF(C166&gt;$C$10,0,IF(AND($C$38&gt;0,A166&gt;=$C$38,EOMONTH(A166,0)&lt;=$C$39),E166*(1-$C$40)*(1-G$15),E166*(1-G$15)))+M166</f>
        <v>22907.153924712642</v>
      </c>
      <c r="U166" s="150">
        <f>IF(C166&gt;$C$10,0,IF(AND($C$38&gt;0,A166&gt;=$C$38,EOMONTH(A166,0)&lt;=$C$39),E166*(1-$C$40)*(1-H$15),E166*(1-H$15)))+M166</f>
        <v>21677.280059287776</v>
      </c>
      <c r="V166" s="150">
        <f>IF(C166&gt;$C$10,0,IF(AND($C$38&gt;0,A166&gt;=$C$38,EOMONTH(A166,0)&lt;=$C$39),E166*(1-$C$40)*(1-I$15),E166*(1-I$15)))+M166</f>
        <v>20447.406193862902</v>
      </c>
      <c r="W166" s="181">
        <f>IF(C166&gt;$C$10,0,IF(AND($C$38&gt;0,A166&gt;=$C$38,EOMONTH(A166,0)&lt;=$C$39),E166*(1-$C$40)*(1-F$34),E166*(1-F$34)))+M166</f>
        <v>24137.027790137516</v>
      </c>
      <c r="X166" s="179">
        <f>IF(C166&gt;$C$10,0,IF(AND($C$38&gt;0,A166&gt;=$C$38,EOMONTH(A166,0)&lt;=$C$39),E166*(1-$C$40)*(1-G$34),E166*(1-G$34)))+M166</f>
        <v>21677.280059287776</v>
      </c>
      <c r="Y166" s="178">
        <f>IF(C166&gt;$C$10,0,IF(AND($C$38&gt;0,A166&gt;=$C$38,EOMONTH(A166,0)&lt;=$C$39),E166*(1-$C$40)*(1-H$34),E166*(1-H$34)))+M166</f>
        <v>20447.406193862902</v>
      </c>
      <c r="Z166" s="179">
        <f>IF(C166&gt;$C$10,0,IF(AND($C$38&gt;0,A166&gt;=$C$38,EOMONTH(A166,0)&lt;=$C$39),E166*(1-$C$40)*(1-I$34),E166*(1-I$34)))+M166</f>
        <v>19217.532328438036</v>
      </c>
      <c r="AA166" s="180">
        <f>IF(C166&gt;$C$10,0,IF(AND($C$38&gt;0,A166&gt;=$C$38,EOMONTH(A166,0)&lt;=$C$39),E166*(1-$C$40)*(1-J$34),E166*(1-J$34)))+M166</f>
        <v>17987.658463013162</v>
      </c>
    </row>
    <row r="167" spans="1:27" x14ac:dyDescent="0.25">
      <c r="A167" s="98">
        <f>EDATE($C$8,92)</f>
        <v>46151</v>
      </c>
      <c r="B167" s="99">
        <f>EDATE($C$8,93)-1</f>
        <v>46181</v>
      </c>
      <c r="C167" s="92">
        <f t="shared" si="31"/>
        <v>93</v>
      </c>
      <c r="D167" s="100">
        <f t="shared" si="21"/>
        <v>8</v>
      </c>
      <c r="E167" s="101">
        <f t="shared" si="22"/>
        <v>12298.7386542487</v>
      </c>
      <c r="F167" s="94">
        <f t="shared" si="32"/>
        <v>12298.7386542487</v>
      </c>
      <c r="G167" s="95">
        <f t="shared" si="33"/>
        <v>0</v>
      </c>
      <c r="H167" s="94">
        <f t="shared" si="23"/>
        <v>4612.0269953432626</v>
      </c>
      <c r="I167" s="94">
        <f t="shared" si="24"/>
        <v>2306.0134976716313</v>
      </c>
      <c r="J167" s="94">
        <f t="shared" si="25"/>
        <v>3843.3558294527188</v>
      </c>
      <c r="K167" s="94">
        <f t="shared" si="26"/>
        <v>717.92854228079989</v>
      </c>
      <c r="L167" s="94">
        <f t="shared" si="27"/>
        <v>358.96427114039994</v>
      </c>
      <c r="M167" s="94">
        <f t="shared" si="28"/>
        <v>11838.289135888814</v>
      </c>
      <c r="N167" s="101">
        <f t="shared" si="29"/>
        <v>24137.027790137516</v>
      </c>
      <c r="O167" s="102">
        <f t="shared" si="30"/>
        <v>1.6091351860091676</v>
      </c>
      <c r="P167" s="101">
        <f>MAX(SUM(N167:N198)+S167,0)</f>
        <v>728112.54464906733</v>
      </c>
      <c r="Q167" s="101">
        <f>SUM(F167:F198)</f>
        <v>371219.31023645931</v>
      </c>
      <c r="R167" s="101">
        <f>SUM(M167:M198)</f>
        <v>356893.23441260844</v>
      </c>
      <c r="S167" s="103">
        <f>SUMPRODUCT(($C$55:$C$67)*($D$55:$D$67&gt;=$A167))</f>
        <v>0</v>
      </c>
      <c r="T167" s="150">
        <f>IF(C167&gt;$C$10,0,IF(AND($C$38&gt;0,A167&gt;=$C$38,EOMONTH(A167,0)&lt;=$C$39),E167*(1-$C$40)*(1-G$15),E167*(1-G$15)))+M167</f>
        <v>22907.153924712642</v>
      </c>
      <c r="U167" s="150">
        <f>IF(C167&gt;$C$10,0,IF(AND($C$38&gt;0,A167&gt;=$C$38,EOMONTH(A167,0)&lt;=$C$39),E167*(1-$C$40)*(1-H$15),E167*(1-H$15)))+M167</f>
        <v>21677.280059287776</v>
      </c>
      <c r="V167" s="150">
        <f>IF(C167&gt;$C$10,0,IF(AND($C$38&gt;0,A167&gt;=$C$38,EOMONTH(A167,0)&lt;=$C$39),E167*(1-$C$40)*(1-I$15),E167*(1-I$15)))+M167</f>
        <v>20447.406193862902</v>
      </c>
      <c r="W167" s="181">
        <f>IF(C167&gt;$C$10,0,IF(AND($C$38&gt;0,A167&gt;=$C$38,EOMONTH(A167,0)&lt;=$C$39),E167*(1-$C$40)*(1-F$34),E167*(1-F$34)))+M167</f>
        <v>24137.027790137516</v>
      </c>
      <c r="X167" s="179">
        <f>IF(C167&gt;$C$10,0,IF(AND($C$38&gt;0,A167&gt;=$C$38,EOMONTH(A167,0)&lt;=$C$39),E167*(1-$C$40)*(1-G$34),E167*(1-G$34)))+M167</f>
        <v>21677.280059287776</v>
      </c>
      <c r="Y167" s="178">
        <f>IF(C167&gt;$C$10,0,IF(AND($C$38&gt;0,A167&gt;=$C$38,EOMONTH(A167,0)&lt;=$C$39),E167*(1-$C$40)*(1-H$34),E167*(1-H$34)))+M167</f>
        <v>20447.406193862902</v>
      </c>
      <c r="Z167" s="179">
        <f>IF(C167&gt;$C$10,0,IF(AND($C$38&gt;0,A167&gt;=$C$38,EOMONTH(A167,0)&lt;=$C$39),E167*(1-$C$40)*(1-I$34),E167*(1-I$34)))+M167</f>
        <v>19217.532328438036</v>
      </c>
      <c r="AA167" s="180">
        <f>IF(C167&gt;$C$10,0,IF(AND($C$38&gt;0,A167&gt;=$C$38,EOMONTH(A167,0)&lt;=$C$39),E167*(1-$C$40)*(1-J$34),E167*(1-J$34)))+M167</f>
        <v>17987.658463013162</v>
      </c>
    </row>
    <row r="168" spans="1:27" x14ac:dyDescent="0.25">
      <c r="A168" s="104">
        <f>EDATE($C$8,93)</f>
        <v>46182</v>
      </c>
      <c r="B168" s="105">
        <f>EDATE($C$8,94)-1</f>
        <v>46211</v>
      </c>
      <c r="C168" s="92">
        <f t="shared" si="31"/>
        <v>94</v>
      </c>
      <c r="D168" s="106">
        <f t="shared" si="21"/>
        <v>8</v>
      </c>
      <c r="E168" s="107">
        <f t="shared" si="22"/>
        <v>12298.7386542487</v>
      </c>
      <c r="F168" s="94">
        <f t="shared" si="32"/>
        <v>12298.7386542487</v>
      </c>
      <c r="G168" s="95">
        <f t="shared" si="33"/>
        <v>0</v>
      </c>
      <c r="H168" s="94">
        <f t="shared" si="23"/>
        <v>4612.0269953432626</v>
      </c>
      <c r="I168" s="94">
        <f t="shared" si="24"/>
        <v>2306.0134976716313</v>
      </c>
      <c r="J168" s="94">
        <f t="shared" si="25"/>
        <v>3843.3558294527188</v>
      </c>
      <c r="K168" s="94">
        <f t="shared" si="26"/>
        <v>717.92854228079989</v>
      </c>
      <c r="L168" s="94">
        <f t="shared" si="27"/>
        <v>358.96427114039994</v>
      </c>
      <c r="M168" s="94">
        <f t="shared" si="28"/>
        <v>11838.289135888814</v>
      </c>
      <c r="N168" s="107">
        <f t="shared" si="29"/>
        <v>24137.027790137516</v>
      </c>
      <c r="O168" s="108">
        <f t="shared" si="30"/>
        <v>1.6091351860091676</v>
      </c>
      <c r="P168" s="107">
        <f>MAX(SUM(N168:N198)+S168,0)</f>
        <v>703975.51685892988</v>
      </c>
      <c r="Q168" s="107">
        <f>SUM(F168:F198)</f>
        <v>358920.5715822106</v>
      </c>
      <c r="R168" s="107">
        <f>SUM(M168:M198)</f>
        <v>345054.94527671958</v>
      </c>
      <c r="S168" s="109">
        <f>SUMPRODUCT(($C$55:$C$67)*($D$55:$D$67&gt;=$A168))</f>
        <v>0</v>
      </c>
      <c r="T168" s="150">
        <f>IF(C168&gt;$C$10,0,IF(AND($C$38&gt;0,A168&gt;=$C$38,EOMONTH(A168,0)&lt;=$C$39),E168*(1-$C$40)*(1-G$15),E168*(1-G$15)))+M168</f>
        <v>22907.153924712642</v>
      </c>
      <c r="U168" s="150">
        <f>IF(C168&gt;$C$10,0,IF(AND($C$38&gt;0,A168&gt;=$C$38,EOMONTH(A168,0)&lt;=$C$39),E168*(1-$C$40)*(1-H$15),E168*(1-H$15)))+M168</f>
        <v>21677.280059287776</v>
      </c>
      <c r="V168" s="150">
        <f>IF(C168&gt;$C$10,0,IF(AND($C$38&gt;0,A168&gt;=$C$38,EOMONTH(A168,0)&lt;=$C$39),E168*(1-$C$40)*(1-I$15),E168*(1-I$15)))+M168</f>
        <v>20447.406193862902</v>
      </c>
      <c r="W168" s="181">
        <f>IF(C168&gt;$C$10,0,IF(AND($C$38&gt;0,A168&gt;=$C$38,EOMONTH(A168,0)&lt;=$C$39),E168*(1-$C$40)*(1-F$34),E168*(1-F$34)))+M168</f>
        <v>24137.027790137516</v>
      </c>
      <c r="X168" s="179">
        <f>IF(C168&gt;$C$10,0,IF(AND($C$38&gt;0,A168&gt;=$C$38,EOMONTH(A168,0)&lt;=$C$39),E168*(1-$C$40)*(1-G$34),E168*(1-G$34)))+M168</f>
        <v>21677.280059287776</v>
      </c>
      <c r="Y168" s="178">
        <f>IF(C168&gt;$C$10,0,IF(AND($C$38&gt;0,A168&gt;=$C$38,EOMONTH(A168,0)&lt;=$C$39),E168*(1-$C$40)*(1-H$34),E168*(1-H$34)))+M168</f>
        <v>20447.406193862902</v>
      </c>
      <c r="Z168" s="179">
        <f>IF(C168&gt;$C$10,0,IF(AND($C$38&gt;0,A168&gt;=$C$38,EOMONTH(A168,0)&lt;=$C$39),E168*(1-$C$40)*(1-I$34),E168*(1-I$34)))+M168</f>
        <v>19217.532328438036</v>
      </c>
      <c r="AA168" s="180">
        <f>IF(C168&gt;$C$10,0,IF(AND($C$38&gt;0,A168&gt;=$C$38,EOMONTH(A168,0)&lt;=$C$39),E168*(1-$C$40)*(1-J$34),E168*(1-J$34)))+M168</f>
        <v>17987.658463013162</v>
      </c>
    </row>
    <row r="169" spans="1:27" x14ac:dyDescent="0.25">
      <c r="A169" s="98">
        <f>EDATE($C$8,94)</f>
        <v>46212</v>
      </c>
      <c r="B169" s="99">
        <f>EDATE($C$8,95)-1</f>
        <v>46242</v>
      </c>
      <c r="C169" s="92">
        <f t="shared" si="31"/>
        <v>95</v>
      </c>
      <c r="D169" s="100">
        <f t="shared" si="21"/>
        <v>8</v>
      </c>
      <c r="E169" s="101">
        <f t="shared" si="22"/>
        <v>12298.7386542487</v>
      </c>
      <c r="F169" s="94">
        <f t="shared" si="32"/>
        <v>12298.7386542487</v>
      </c>
      <c r="G169" s="95">
        <f t="shared" si="33"/>
        <v>0</v>
      </c>
      <c r="H169" s="94">
        <f t="shared" si="23"/>
        <v>4612.0269953432626</v>
      </c>
      <c r="I169" s="94">
        <f t="shared" si="24"/>
        <v>2306.0134976716313</v>
      </c>
      <c r="J169" s="94">
        <f t="shared" si="25"/>
        <v>3843.3558294527188</v>
      </c>
      <c r="K169" s="94">
        <f t="shared" si="26"/>
        <v>717.92854228079989</v>
      </c>
      <c r="L169" s="94">
        <f t="shared" si="27"/>
        <v>358.96427114039994</v>
      </c>
      <c r="M169" s="94">
        <f t="shared" si="28"/>
        <v>11838.289135888814</v>
      </c>
      <c r="N169" s="101">
        <f t="shared" si="29"/>
        <v>24137.027790137516</v>
      </c>
      <c r="O169" s="102">
        <f t="shared" si="30"/>
        <v>1.6091351860091676</v>
      </c>
      <c r="P169" s="101">
        <f>MAX(SUM(N169:N198)+S169,0)</f>
        <v>679838.48906879232</v>
      </c>
      <c r="Q169" s="101">
        <f>SUM(F169:F198)</f>
        <v>346621.83292796183</v>
      </c>
      <c r="R169" s="101">
        <f>SUM(M169:M198)</f>
        <v>333216.65614083072</v>
      </c>
      <c r="S169" s="103">
        <f>SUMPRODUCT(($C$55:$C$67)*($D$55:$D$67&gt;=$A169))</f>
        <v>0</v>
      </c>
      <c r="T169" s="150">
        <f>IF(C169&gt;$C$10,0,IF(AND($C$38&gt;0,A169&gt;=$C$38,EOMONTH(A169,0)&lt;=$C$39),E169*(1-$C$40)*(1-G$15),E169*(1-G$15)))+M169</f>
        <v>22907.153924712642</v>
      </c>
      <c r="U169" s="150">
        <f>IF(C169&gt;$C$10,0,IF(AND($C$38&gt;0,A169&gt;=$C$38,EOMONTH(A169,0)&lt;=$C$39),E169*(1-$C$40)*(1-H$15),E169*(1-H$15)))+M169</f>
        <v>21677.280059287776</v>
      </c>
      <c r="V169" s="150">
        <f>IF(C169&gt;$C$10,0,IF(AND($C$38&gt;0,A169&gt;=$C$38,EOMONTH(A169,0)&lt;=$C$39),E169*(1-$C$40)*(1-I$15),E169*(1-I$15)))+M169</f>
        <v>20447.406193862902</v>
      </c>
      <c r="W169" s="181">
        <f>IF(C169&gt;$C$10,0,IF(AND($C$38&gt;0,A169&gt;=$C$38,EOMONTH(A169,0)&lt;=$C$39),E169*(1-$C$40)*(1-F$34),E169*(1-F$34)))+M169</f>
        <v>24137.027790137516</v>
      </c>
      <c r="X169" s="179">
        <f>IF(C169&gt;$C$10,0,IF(AND($C$38&gt;0,A169&gt;=$C$38,EOMONTH(A169,0)&lt;=$C$39),E169*(1-$C$40)*(1-G$34),E169*(1-G$34)))+M169</f>
        <v>21677.280059287776</v>
      </c>
      <c r="Y169" s="178">
        <f>IF(C169&gt;$C$10,0,IF(AND($C$38&gt;0,A169&gt;=$C$38,EOMONTH(A169,0)&lt;=$C$39),E169*(1-$C$40)*(1-H$34),E169*(1-H$34)))+M169</f>
        <v>20447.406193862902</v>
      </c>
      <c r="Z169" s="179">
        <f>IF(C169&gt;$C$10,0,IF(AND($C$38&gt;0,A169&gt;=$C$38,EOMONTH(A169,0)&lt;=$C$39),E169*(1-$C$40)*(1-I$34),E169*(1-I$34)))+M169</f>
        <v>19217.532328438036</v>
      </c>
      <c r="AA169" s="180">
        <f>IF(C169&gt;$C$10,0,IF(AND($C$38&gt;0,A169&gt;=$C$38,EOMONTH(A169,0)&lt;=$C$39),E169*(1-$C$40)*(1-J$34),E169*(1-J$34)))+M169</f>
        <v>17987.658463013162</v>
      </c>
    </row>
    <row r="170" spans="1:27" x14ac:dyDescent="0.25">
      <c r="A170" s="104">
        <f>EDATE($C$8,95)</f>
        <v>46243</v>
      </c>
      <c r="B170" s="105">
        <f>EDATE($C$8,96)-1</f>
        <v>46273</v>
      </c>
      <c r="C170" s="92">
        <f t="shared" si="31"/>
        <v>96</v>
      </c>
      <c r="D170" s="106">
        <f t="shared" si="21"/>
        <v>8</v>
      </c>
      <c r="E170" s="107">
        <f t="shared" si="22"/>
        <v>12298.7386542487</v>
      </c>
      <c r="F170" s="94">
        <f t="shared" si="32"/>
        <v>12298.7386542487</v>
      </c>
      <c r="G170" s="95">
        <f t="shared" si="33"/>
        <v>0</v>
      </c>
      <c r="H170" s="94">
        <f t="shared" si="23"/>
        <v>4612.0269953432626</v>
      </c>
      <c r="I170" s="94">
        <f t="shared" si="24"/>
        <v>2306.0134976716313</v>
      </c>
      <c r="J170" s="94">
        <f t="shared" si="25"/>
        <v>3843.3558294527188</v>
      </c>
      <c r="K170" s="94">
        <f t="shared" si="26"/>
        <v>717.92854228079989</v>
      </c>
      <c r="L170" s="94">
        <f t="shared" si="27"/>
        <v>358.96427114039994</v>
      </c>
      <c r="M170" s="94">
        <f t="shared" si="28"/>
        <v>11838.289135888814</v>
      </c>
      <c r="N170" s="107">
        <f t="shared" si="29"/>
        <v>24137.027790137516</v>
      </c>
      <c r="O170" s="108">
        <f t="shared" si="30"/>
        <v>1.6091351860091676</v>
      </c>
      <c r="P170" s="107">
        <f>MAX(SUM(N170:N198)+S170,0)</f>
        <v>655701.46127865498</v>
      </c>
      <c r="Q170" s="107">
        <f>SUM(F170:F198)</f>
        <v>334323.09427371313</v>
      </c>
      <c r="R170" s="107">
        <f>SUM(M170:M198)</f>
        <v>321378.36700494192</v>
      </c>
      <c r="S170" s="109">
        <f>SUMPRODUCT(($C$55:$C$67)*($D$55:$D$67&gt;=$A170))</f>
        <v>0</v>
      </c>
      <c r="T170" s="150">
        <f>IF(C170&gt;$C$10,0,IF(AND($C$38&gt;0,A170&gt;=$C$38,EOMONTH(A170,0)&lt;=$C$39),E170*(1-$C$40)*(1-G$15),E170*(1-G$15)))+M170</f>
        <v>22907.153924712642</v>
      </c>
      <c r="U170" s="150">
        <f>IF(C170&gt;$C$10,0,IF(AND($C$38&gt;0,A170&gt;=$C$38,EOMONTH(A170,0)&lt;=$C$39),E170*(1-$C$40)*(1-H$15),E170*(1-H$15)))+M170</f>
        <v>21677.280059287776</v>
      </c>
      <c r="V170" s="150">
        <f>IF(C170&gt;$C$10,0,IF(AND($C$38&gt;0,A170&gt;=$C$38,EOMONTH(A170,0)&lt;=$C$39),E170*(1-$C$40)*(1-I$15),E170*(1-I$15)))+M170</f>
        <v>20447.406193862902</v>
      </c>
      <c r="W170" s="181">
        <f>IF(C170&gt;$C$10,0,IF(AND($C$38&gt;0,A170&gt;=$C$38,EOMONTH(A170,0)&lt;=$C$39),E170*(1-$C$40)*(1-F$34),E170*(1-F$34)))+M170</f>
        <v>24137.027790137516</v>
      </c>
      <c r="X170" s="179">
        <f>IF(C170&gt;$C$10,0,IF(AND($C$38&gt;0,A170&gt;=$C$38,EOMONTH(A170,0)&lt;=$C$39),E170*(1-$C$40)*(1-G$34),E170*(1-G$34)))+M170</f>
        <v>21677.280059287776</v>
      </c>
      <c r="Y170" s="178">
        <f>IF(C170&gt;$C$10,0,IF(AND($C$38&gt;0,A170&gt;=$C$38,EOMONTH(A170,0)&lt;=$C$39),E170*(1-$C$40)*(1-H$34),E170*(1-H$34)))+M170</f>
        <v>20447.406193862902</v>
      </c>
      <c r="Z170" s="179">
        <f>IF(C170&gt;$C$10,0,IF(AND($C$38&gt;0,A170&gt;=$C$38,EOMONTH(A170,0)&lt;=$C$39),E170*(1-$C$40)*(1-I$34),E170*(1-I$34)))+M170</f>
        <v>19217.532328438036</v>
      </c>
      <c r="AA170" s="180">
        <f>IF(C170&gt;$C$10,0,IF(AND($C$38&gt;0,A170&gt;=$C$38,EOMONTH(A170,0)&lt;=$C$39),E170*(1-$C$40)*(1-J$34),E170*(1-J$34)))+M170</f>
        <v>17987.658463013162</v>
      </c>
    </row>
    <row r="171" spans="1:27" x14ac:dyDescent="0.25">
      <c r="A171" s="98">
        <f>EDATE($C$8,96)</f>
        <v>46274</v>
      </c>
      <c r="B171" s="99">
        <f>EDATE($C$8,97)-1</f>
        <v>46303</v>
      </c>
      <c r="C171" s="92">
        <f t="shared" si="31"/>
        <v>97</v>
      </c>
      <c r="D171" s="100">
        <f t="shared" ref="D171:D198" si="34">INT((C171-1)/12)+1</f>
        <v>9</v>
      </c>
      <c r="E171" s="101">
        <f t="shared" ref="E171:E198" si="35">IF(C171&gt;$C$10,0,$C$21*(1+$C$29)^(D171-1))</f>
        <v>12667.700813876159</v>
      </c>
      <c r="F171" s="94">
        <f t="shared" si="32"/>
        <v>12667.700813876159</v>
      </c>
      <c r="G171" s="95">
        <f t="shared" si="33"/>
        <v>0</v>
      </c>
      <c r="H171" s="94">
        <f t="shared" ref="H171:H198" si="36">IF(C171&gt;$C$10,0,$C$24*(1+$C$30)^(D171-1))</f>
        <v>4750.3878052035598</v>
      </c>
      <c r="I171" s="94">
        <f t="shared" ref="I171:I198" si="37">IF(C171&gt;$C$10,0,$C$22*(1+$C$31)^(D171-1))</f>
        <v>2375.1939026017799</v>
      </c>
      <c r="J171" s="94">
        <f t="shared" ref="J171:J198" si="38">IF(C171&gt;$C$10,0,$C$23*(1+$C$32)^(D171-1))</f>
        <v>3958.6565043362998</v>
      </c>
      <c r="K171" s="94">
        <f t="shared" ref="K171:K198" si="39">IF(C171&gt;$C$10,0,$C$25*(1+$C$33)^(D171-1))</f>
        <v>732.28711312641599</v>
      </c>
      <c r="L171" s="94">
        <f t="shared" ref="L171:L198" si="40">IF(C171&gt;$C$10,0,$C$26*(1+$C$34)^(D171-1))</f>
        <v>366.14355656320799</v>
      </c>
      <c r="M171" s="94">
        <f t="shared" si="28"/>
        <v>12182.668881831263</v>
      </c>
      <c r="N171" s="101">
        <f t="shared" ref="N171:N198" si="41">F171+M171</f>
        <v>24850.369695707421</v>
      </c>
      <c r="O171" s="102">
        <f t="shared" si="30"/>
        <v>1.6566913130471614</v>
      </c>
      <c r="P171" s="101">
        <f>MAX(SUM(N171:N198)+S171,0)</f>
        <v>631564.43348851753</v>
      </c>
      <c r="Q171" s="101">
        <f>SUM(F171:F198)</f>
        <v>322024.35561946442</v>
      </c>
      <c r="R171" s="101">
        <f>SUM(M171:M198)</f>
        <v>309540.07786905306</v>
      </c>
      <c r="S171" s="103">
        <f>SUMPRODUCT(($C$55:$C$67)*($D$55:$D$67&gt;=$A171))</f>
        <v>0</v>
      </c>
      <c r="T171" s="150">
        <f>IF(C171&gt;$C$10,0,IF(AND($C$38&gt;0,A171&gt;=$C$38,EOMONTH(A171,0)&lt;=$C$39),E171*(1-$C$40)*(1-G$15),E171*(1-G$15)))+M171</f>
        <v>23583.599614319806</v>
      </c>
      <c r="U171" s="150">
        <f>IF(C171&gt;$C$10,0,IF(AND($C$38&gt;0,A171&gt;=$C$38,EOMONTH(A171,0)&lt;=$C$39),E171*(1-$C$40)*(1-H$15),E171*(1-H$15)))+M171</f>
        <v>22316.829532932192</v>
      </c>
      <c r="V171" s="150">
        <f>IF(C171&gt;$C$10,0,IF(AND($C$38&gt;0,A171&gt;=$C$38,EOMONTH(A171,0)&lt;=$C$39),E171*(1-$C$40)*(1-I$15),E171*(1-I$15)))+M171</f>
        <v>21050.059451544574</v>
      </c>
      <c r="W171" s="181">
        <f>IF(C171&gt;$C$10,0,IF(AND($C$38&gt;0,A171&gt;=$C$38,EOMONTH(A171,0)&lt;=$C$39),E171*(1-$C$40)*(1-F$34),E171*(1-F$34)))+M171</f>
        <v>24850.369695707421</v>
      </c>
      <c r="X171" s="179">
        <f>IF(C171&gt;$C$10,0,IF(AND($C$38&gt;0,A171&gt;=$C$38,EOMONTH(A171,0)&lt;=$C$39),E171*(1-$C$40)*(1-G$34),E171*(1-G$34)))+M171</f>
        <v>22316.829532932192</v>
      </c>
      <c r="Y171" s="178">
        <f>IF(C171&gt;$C$10,0,IF(AND($C$38&gt;0,A171&gt;=$C$38,EOMONTH(A171,0)&lt;=$C$39),E171*(1-$C$40)*(1-H$34),E171*(1-H$34)))+M171</f>
        <v>21050.059451544574</v>
      </c>
      <c r="Z171" s="179">
        <f>IF(C171&gt;$C$10,0,IF(AND($C$38&gt;0,A171&gt;=$C$38,EOMONTH(A171,0)&lt;=$C$39),E171*(1-$C$40)*(1-I$34),E171*(1-I$34)))+M171</f>
        <v>19783.289370156959</v>
      </c>
      <c r="AA171" s="180">
        <f>IF(C171&gt;$C$10,0,IF(AND($C$38&gt;0,A171&gt;=$C$38,EOMONTH(A171,0)&lt;=$C$39),E171*(1-$C$40)*(1-J$34),E171*(1-J$34)))+M171</f>
        <v>18516.519288769341</v>
      </c>
    </row>
    <row r="172" spans="1:27" x14ac:dyDescent="0.25">
      <c r="A172" s="104">
        <f>EDATE($C$8,97)</f>
        <v>46304</v>
      </c>
      <c r="B172" s="105">
        <f>EDATE($C$8,98)-1</f>
        <v>46334</v>
      </c>
      <c r="C172" s="92">
        <f t="shared" si="31"/>
        <v>98</v>
      </c>
      <c r="D172" s="106">
        <f t="shared" si="34"/>
        <v>9</v>
      </c>
      <c r="E172" s="107">
        <f t="shared" si="35"/>
        <v>12667.700813876159</v>
      </c>
      <c r="F172" s="94">
        <f t="shared" si="32"/>
        <v>12667.700813876159</v>
      </c>
      <c r="G172" s="95">
        <f t="shared" si="33"/>
        <v>0</v>
      </c>
      <c r="H172" s="94">
        <f t="shared" si="36"/>
        <v>4750.3878052035598</v>
      </c>
      <c r="I172" s="94">
        <f t="shared" si="37"/>
        <v>2375.1939026017799</v>
      </c>
      <c r="J172" s="94">
        <f t="shared" si="38"/>
        <v>3958.6565043362998</v>
      </c>
      <c r="K172" s="94">
        <f t="shared" si="39"/>
        <v>732.28711312641599</v>
      </c>
      <c r="L172" s="94">
        <f t="shared" si="40"/>
        <v>366.14355656320799</v>
      </c>
      <c r="M172" s="94">
        <f t="shared" si="28"/>
        <v>12182.668881831263</v>
      </c>
      <c r="N172" s="107">
        <f t="shared" si="41"/>
        <v>24850.369695707421</v>
      </c>
      <c r="O172" s="108">
        <f t="shared" si="30"/>
        <v>1.6566913130471614</v>
      </c>
      <c r="P172" s="107">
        <f>MAX(SUM(N172:N198)+S172,0)</f>
        <v>606714.06379281019</v>
      </c>
      <c r="Q172" s="107">
        <f>SUM(F172:F198)</f>
        <v>309356.65480558824</v>
      </c>
      <c r="R172" s="107">
        <f>SUM(M172:M198)</f>
        <v>297357.40898722177</v>
      </c>
      <c r="S172" s="109">
        <f>SUMPRODUCT(($C$55:$C$67)*($D$55:$D$67&gt;=$A172))</f>
        <v>0</v>
      </c>
      <c r="T172" s="150">
        <f>IF(C172&gt;$C$10,0,IF(AND($C$38&gt;0,A172&gt;=$C$38,EOMONTH(A172,0)&lt;=$C$39),E172*(1-$C$40)*(1-G$15),E172*(1-G$15)))+M172</f>
        <v>23583.599614319806</v>
      </c>
      <c r="U172" s="150">
        <f>IF(C172&gt;$C$10,0,IF(AND($C$38&gt;0,A172&gt;=$C$38,EOMONTH(A172,0)&lt;=$C$39),E172*(1-$C$40)*(1-H$15),E172*(1-H$15)))+M172</f>
        <v>22316.829532932192</v>
      </c>
      <c r="V172" s="150">
        <f>IF(C172&gt;$C$10,0,IF(AND($C$38&gt;0,A172&gt;=$C$38,EOMONTH(A172,0)&lt;=$C$39),E172*(1-$C$40)*(1-I$15),E172*(1-I$15)))+M172</f>
        <v>21050.059451544574</v>
      </c>
      <c r="W172" s="181">
        <f>IF(C172&gt;$C$10,0,IF(AND($C$38&gt;0,A172&gt;=$C$38,EOMONTH(A172,0)&lt;=$C$39),E172*(1-$C$40)*(1-F$34),E172*(1-F$34)))+M172</f>
        <v>24850.369695707421</v>
      </c>
      <c r="X172" s="179">
        <f>IF(C172&gt;$C$10,0,IF(AND($C$38&gt;0,A172&gt;=$C$38,EOMONTH(A172,0)&lt;=$C$39),E172*(1-$C$40)*(1-G$34),E172*(1-G$34)))+M172</f>
        <v>22316.829532932192</v>
      </c>
      <c r="Y172" s="178">
        <f>IF(C172&gt;$C$10,0,IF(AND($C$38&gt;0,A172&gt;=$C$38,EOMONTH(A172,0)&lt;=$C$39),E172*(1-$C$40)*(1-H$34),E172*(1-H$34)))+M172</f>
        <v>21050.059451544574</v>
      </c>
      <c r="Z172" s="179">
        <f>IF(C172&gt;$C$10,0,IF(AND($C$38&gt;0,A172&gt;=$C$38,EOMONTH(A172,0)&lt;=$C$39),E172*(1-$C$40)*(1-I$34),E172*(1-I$34)))+M172</f>
        <v>19783.289370156959</v>
      </c>
      <c r="AA172" s="180">
        <f>IF(C172&gt;$C$10,0,IF(AND($C$38&gt;0,A172&gt;=$C$38,EOMONTH(A172,0)&lt;=$C$39),E172*(1-$C$40)*(1-J$34),E172*(1-J$34)))+M172</f>
        <v>18516.519288769341</v>
      </c>
    </row>
    <row r="173" spans="1:27" x14ac:dyDescent="0.25">
      <c r="A173" s="98">
        <f>EDATE($C$8,98)</f>
        <v>46335</v>
      </c>
      <c r="B173" s="99">
        <f>EDATE($C$8,99)-1</f>
        <v>46364</v>
      </c>
      <c r="C173" s="92">
        <f t="shared" si="31"/>
        <v>99</v>
      </c>
      <c r="D173" s="100">
        <f t="shared" si="34"/>
        <v>9</v>
      </c>
      <c r="E173" s="101">
        <f t="shared" si="35"/>
        <v>12667.700813876159</v>
      </c>
      <c r="F173" s="94">
        <f t="shared" si="32"/>
        <v>12667.700813876159</v>
      </c>
      <c r="G173" s="95">
        <f t="shared" si="33"/>
        <v>0</v>
      </c>
      <c r="H173" s="94">
        <f t="shared" si="36"/>
        <v>4750.3878052035598</v>
      </c>
      <c r="I173" s="94">
        <f t="shared" si="37"/>
        <v>2375.1939026017799</v>
      </c>
      <c r="J173" s="94">
        <f t="shared" si="38"/>
        <v>3958.6565043362998</v>
      </c>
      <c r="K173" s="94">
        <f t="shared" si="39"/>
        <v>732.28711312641599</v>
      </c>
      <c r="L173" s="94">
        <f t="shared" si="40"/>
        <v>366.14355656320799</v>
      </c>
      <c r="M173" s="94">
        <f t="shared" si="28"/>
        <v>12182.668881831263</v>
      </c>
      <c r="N173" s="101">
        <f t="shared" si="41"/>
        <v>24850.369695707421</v>
      </c>
      <c r="O173" s="102">
        <f t="shared" si="30"/>
        <v>1.6566913130471614</v>
      </c>
      <c r="P173" s="101">
        <f>MAX(SUM(N173:N198)+S173,0)</f>
        <v>581863.69409710274</v>
      </c>
      <c r="Q173" s="101">
        <f>SUM(F173:F198)</f>
        <v>296688.95399171213</v>
      </c>
      <c r="R173" s="101">
        <f>SUM(M173:M198)</f>
        <v>285174.74010539049</v>
      </c>
      <c r="S173" s="103">
        <f>SUMPRODUCT(($C$55:$C$67)*($D$55:$D$67&gt;=$A173))</f>
        <v>0</v>
      </c>
      <c r="T173" s="150">
        <f>IF(C173&gt;$C$10,0,IF(AND($C$38&gt;0,A173&gt;=$C$38,EOMONTH(A173,0)&lt;=$C$39),E173*(1-$C$40)*(1-G$15),E173*(1-G$15)))+M173</f>
        <v>23583.599614319806</v>
      </c>
      <c r="U173" s="150">
        <f>IF(C173&gt;$C$10,0,IF(AND($C$38&gt;0,A173&gt;=$C$38,EOMONTH(A173,0)&lt;=$C$39),E173*(1-$C$40)*(1-H$15),E173*(1-H$15)))+M173</f>
        <v>22316.829532932192</v>
      </c>
      <c r="V173" s="150">
        <f>IF(C173&gt;$C$10,0,IF(AND($C$38&gt;0,A173&gt;=$C$38,EOMONTH(A173,0)&lt;=$C$39),E173*(1-$C$40)*(1-I$15),E173*(1-I$15)))+M173</f>
        <v>21050.059451544574</v>
      </c>
      <c r="W173" s="181">
        <f>IF(C173&gt;$C$10,0,IF(AND($C$38&gt;0,A173&gt;=$C$38,EOMONTH(A173,0)&lt;=$C$39),E173*(1-$C$40)*(1-F$34),E173*(1-F$34)))+M173</f>
        <v>24850.369695707421</v>
      </c>
      <c r="X173" s="179">
        <f>IF(C173&gt;$C$10,0,IF(AND($C$38&gt;0,A173&gt;=$C$38,EOMONTH(A173,0)&lt;=$C$39),E173*(1-$C$40)*(1-G$34),E173*(1-G$34)))+M173</f>
        <v>22316.829532932192</v>
      </c>
      <c r="Y173" s="178">
        <f>IF(C173&gt;$C$10,0,IF(AND($C$38&gt;0,A173&gt;=$C$38,EOMONTH(A173,0)&lt;=$C$39),E173*(1-$C$40)*(1-H$34),E173*(1-H$34)))+M173</f>
        <v>21050.059451544574</v>
      </c>
      <c r="Z173" s="179">
        <f>IF(C173&gt;$C$10,0,IF(AND($C$38&gt;0,A173&gt;=$C$38,EOMONTH(A173,0)&lt;=$C$39),E173*(1-$C$40)*(1-I$34),E173*(1-I$34)))+M173</f>
        <v>19783.289370156959</v>
      </c>
      <c r="AA173" s="180">
        <f>IF(C173&gt;$C$10,0,IF(AND($C$38&gt;0,A173&gt;=$C$38,EOMONTH(A173,0)&lt;=$C$39),E173*(1-$C$40)*(1-J$34),E173*(1-J$34)))+M173</f>
        <v>18516.519288769341</v>
      </c>
    </row>
    <row r="174" spans="1:27" x14ac:dyDescent="0.25">
      <c r="A174" s="104">
        <f>EDATE($C$8,99)</f>
        <v>46365</v>
      </c>
      <c r="B174" s="105">
        <f>EDATE($C$8,100)-1</f>
        <v>46395</v>
      </c>
      <c r="C174" s="92">
        <f t="shared" si="31"/>
        <v>100</v>
      </c>
      <c r="D174" s="106">
        <f t="shared" si="34"/>
        <v>9</v>
      </c>
      <c r="E174" s="107">
        <f t="shared" si="35"/>
        <v>12667.700813876159</v>
      </c>
      <c r="F174" s="94">
        <f t="shared" si="32"/>
        <v>12667.700813876159</v>
      </c>
      <c r="G174" s="95">
        <f t="shared" si="33"/>
        <v>0</v>
      </c>
      <c r="H174" s="94">
        <f t="shared" si="36"/>
        <v>4750.3878052035598</v>
      </c>
      <c r="I174" s="94">
        <f t="shared" si="37"/>
        <v>2375.1939026017799</v>
      </c>
      <c r="J174" s="94">
        <f t="shared" si="38"/>
        <v>3958.6565043362998</v>
      </c>
      <c r="K174" s="94">
        <f t="shared" si="39"/>
        <v>732.28711312641599</v>
      </c>
      <c r="L174" s="94">
        <f t="shared" si="40"/>
        <v>366.14355656320799</v>
      </c>
      <c r="M174" s="94">
        <f t="shared" si="28"/>
        <v>12182.668881831263</v>
      </c>
      <c r="N174" s="107">
        <f t="shared" si="41"/>
        <v>24850.369695707421</v>
      </c>
      <c r="O174" s="108">
        <f t="shared" si="30"/>
        <v>1.6566913130471614</v>
      </c>
      <c r="P174" s="107">
        <f>MAX(SUM(N174:N198)+S174,0)</f>
        <v>557013.3244013954</v>
      </c>
      <c r="Q174" s="107">
        <f>SUM(F174:F198)</f>
        <v>284021.25317783596</v>
      </c>
      <c r="R174" s="107">
        <f>SUM(M174:M198)</f>
        <v>272992.07122355921</v>
      </c>
      <c r="S174" s="109">
        <f>SUMPRODUCT(($C$55:$C$67)*($D$55:$D$67&gt;=$A174))</f>
        <v>0</v>
      </c>
      <c r="T174" s="150">
        <f>IF(C174&gt;$C$10,0,IF(AND($C$38&gt;0,A174&gt;=$C$38,EOMONTH(A174,0)&lt;=$C$39),E174*(1-$C$40)*(1-G$15),E174*(1-G$15)))+M174</f>
        <v>23583.599614319806</v>
      </c>
      <c r="U174" s="150">
        <f>IF(C174&gt;$C$10,0,IF(AND($C$38&gt;0,A174&gt;=$C$38,EOMONTH(A174,0)&lt;=$C$39),E174*(1-$C$40)*(1-H$15),E174*(1-H$15)))+M174</f>
        <v>22316.829532932192</v>
      </c>
      <c r="V174" s="150">
        <f>IF(C174&gt;$C$10,0,IF(AND($C$38&gt;0,A174&gt;=$C$38,EOMONTH(A174,0)&lt;=$C$39),E174*(1-$C$40)*(1-I$15),E174*(1-I$15)))+M174</f>
        <v>21050.059451544574</v>
      </c>
      <c r="W174" s="181">
        <f>IF(C174&gt;$C$10,0,IF(AND($C$38&gt;0,A174&gt;=$C$38,EOMONTH(A174,0)&lt;=$C$39),E174*(1-$C$40)*(1-F$34),E174*(1-F$34)))+M174</f>
        <v>24850.369695707421</v>
      </c>
      <c r="X174" s="179">
        <f>IF(C174&gt;$C$10,0,IF(AND($C$38&gt;0,A174&gt;=$C$38,EOMONTH(A174,0)&lt;=$C$39),E174*(1-$C$40)*(1-G$34),E174*(1-G$34)))+M174</f>
        <v>22316.829532932192</v>
      </c>
      <c r="Y174" s="178">
        <f>IF(C174&gt;$C$10,0,IF(AND($C$38&gt;0,A174&gt;=$C$38,EOMONTH(A174,0)&lt;=$C$39),E174*(1-$C$40)*(1-H$34),E174*(1-H$34)))+M174</f>
        <v>21050.059451544574</v>
      </c>
      <c r="Z174" s="179">
        <f>IF(C174&gt;$C$10,0,IF(AND($C$38&gt;0,A174&gt;=$C$38,EOMONTH(A174,0)&lt;=$C$39),E174*(1-$C$40)*(1-I$34),E174*(1-I$34)))+M174</f>
        <v>19783.289370156959</v>
      </c>
      <c r="AA174" s="180">
        <f>IF(C174&gt;$C$10,0,IF(AND($C$38&gt;0,A174&gt;=$C$38,EOMONTH(A174,0)&lt;=$C$39),E174*(1-$C$40)*(1-J$34),E174*(1-J$34)))+M174</f>
        <v>18516.519288769341</v>
      </c>
    </row>
    <row r="175" spans="1:27" x14ac:dyDescent="0.25">
      <c r="A175" s="98">
        <f>EDATE($C$8,100)</f>
        <v>46396</v>
      </c>
      <c r="B175" s="99">
        <f>EDATE($C$8,101)-1</f>
        <v>46426</v>
      </c>
      <c r="C175" s="92">
        <f t="shared" si="31"/>
        <v>101</v>
      </c>
      <c r="D175" s="100">
        <f t="shared" si="34"/>
        <v>9</v>
      </c>
      <c r="E175" s="101">
        <f t="shared" si="35"/>
        <v>12667.700813876159</v>
      </c>
      <c r="F175" s="94">
        <f t="shared" si="32"/>
        <v>12667.700813876159</v>
      </c>
      <c r="G175" s="95">
        <f t="shared" si="33"/>
        <v>0</v>
      </c>
      <c r="H175" s="94">
        <f t="shared" si="36"/>
        <v>4750.3878052035598</v>
      </c>
      <c r="I175" s="94">
        <f t="shared" si="37"/>
        <v>2375.1939026017799</v>
      </c>
      <c r="J175" s="94">
        <f t="shared" si="38"/>
        <v>3958.6565043362998</v>
      </c>
      <c r="K175" s="94">
        <f t="shared" si="39"/>
        <v>732.28711312641599</v>
      </c>
      <c r="L175" s="94">
        <f t="shared" si="40"/>
        <v>366.14355656320799</v>
      </c>
      <c r="M175" s="94">
        <f t="shared" si="28"/>
        <v>12182.668881831263</v>
      </c>
      <c r="N175" s="101">
        <f t="shared" si="41"/>
        <v>24850.369695707421</v>
      </c>
      <c r="O175" s="102">
        <f t="shared" si="30"/>
        <v>1.6566913130471614</v>
      </c>
      <c r="P175" s="101">
        <f>MAX(SUM(N175:N198)+S175,0)</f>
        <v>532162.95470568794</v>
      </c>
      <c r="Q175" s="101">
        <f>SUM(F175:F198)</f>
        <v>271353.55236395978</v>
      </c>
      <c r="R175" s="101">
        <f>SUM(M175:M198)</f>
        <v>260809.40234172792</v>
      </c>
      <c r="S175" s="103">
        <f>SUMPRODUCT(($C$55:$C$67)*($D$55:$D$67&gt;=$A175))</f>
        <v>0</v>
      </c>
      <c r="T175" s="150">
        <f>IF(C175&gt;$C$10,0,IF(AND($C$38&gt;0,A175&gt;=$C$38,EOMONTH(A175,0)&lt;=$C$39),E175*(1-$C$40)*(1-G$15),E175*(1-G$15)))+M175</f>
        <v>23583.599614319806</v>
      </c>
      <c r="U175" s="150">
        <f>IF(C175&gt;$C$10,0,IF(AND($C$38&gt;0,A175&gt;=$C$38,EOMONTH(A175,0)&lt;=$C$39),E175*(1-$C$40)*(1-H$15),E175*(1-H$15)))+M175</f>
        <v>22316.829532932192</v>
      </c>
      <c r="V175" s="150">
        <f>IF(C175&gt;$C$10,0,IF(AND($C$38&gt;0,A175&gt;=$C$38,EOMONTH(A175,0)&lt;=$C$39),E175*(1-$C$40)*(1-I$15),E175*(1-I$15)))+M175</f>
        <v>21050.059451544574</v>
      </c>
      <c r="W175" s="181">
        <f>IF(C175&gt;$C$10,0,IF(AND($C$38&gt;0,A175&gt;=$C$38,EOMONTH(A175,0)&lt;=$C$39),E175*(1-$C$40)*(1-F$34),E175*(1-F$34)))+M175</f>
        <v>24850.369695707421</v>
      </c>
      <c r="X175" s="179">
        <f>IF(C175&gt;$C$10,0,IF(AND($C$38&gt;0,A175&gt;=$C$38,EOMONTH(A175,0)&lt;=$C$39),E175*(1-$C$40)*(1-G$34),E175*(1-G$34)))+M175</f>
        <v>22316.829532932192</v>
      </c>
      <c r="Y175" s="178">
        <f>IF(C175&gt;$C$10,0,IF(AND($C$38&gt;0,A175&gt;=$C$38,EOMONTH(A175,0)&lt;=$C$39),E175*(1-$C$40)*(1-H$34),E175*(1-H$34)))+M175</f>
        <v>21050.059451544574</v>
      </c>
      <c r="Z175" s="179">
        <f>IF(C175&gt;$C$10,0,IF(AND($C$38&gt;0,A175&gt;=$C$38,EOMONTH(A175,0)&lt;=$C$39),E175*(1-$C$40)*(1-I$34),E175*(1-I$34)))+M175</f>
        <v>19783.289370156959</v>
      </c>
      <c r="AA175" s="180">
        <f>IF(C175&gt;$C$10,0,IF(AND($C$38&gt;0,A175&gt;=$C$38,EOMONTH(A175,0)&lt;=$C$39),E175*(1-$C$40)*(1-J$34),E175*(1-J$34)))+M175</f>
        <v>18516.519288769341</v>
      </c>
    </row>
    <row r="176" spans="1:27" x14ac:dyDescent="0.25">
      <c r="A176" s="104">
        <f>EDATE($C$8,101)</f>
        <v>46427</v>
      </c>
      <c r="B176" s="105">
        <f>EDATE($C$8,102)-1</f>
        <v>46454</v>
      </c>
      <c r="C176" s="92">
        <f t="shared" si="31"/>
        <v>102</v>
      </c>
      <c r="D176" s="106">
        <f t="shared" si="34"/>
        <v>9</v>
      </c>
      <c r="E176" s="107">
        <f t="shared" si="35"/>
        <v>12667.700813876159</v>
      </c>
      <c r="F176" s="94">
        <f t="shared" si="32"/>
        <v>12667.700813876159</v>
      </c>
      <c r="G176" s="95">
        <f t="shared" si="33"/>
        <v>0</v>
      </c>
      <c r="H176" s="94">
        <f t="shared" si="36"/>
        <v>4750.3878052035598</v>
      </c>
      <c r="I176" s="94">
        <f t="shared" si="37"/>
        <v>2375.1939026017799</v>
      </c>
      <c r="J176" s="94">
        <f t="shared" si="38"/>
        <v>3958.6565043362998</v>
      </c>
      <c r="K176" s="94">
        <f t="shared" si="39"/>
        <v>732.28711312641599</v>
      </c>
      <c r="L176" s="94">
        <f t="shared" si="40"/>
        <v>366.14355656320799</v>
      </c>
      <c r="M176" s="94">
        <f t="shared" si="28"/>
        <v>12182.668881831263</v>
      </c>
      <c r="N176" s="107">
        <f t="shared" si="41"/>
        <v>24850.369695707421</v>
      </c>
      <c r="O176" s="108">
        <f t="shared" si="30"/>
        <v>1.6566913130471614</v>
      </c>
      <c r="P176" s="107">
        <f>MAX(SUM(N176:N198)+S176,0)</f>
        <v>507312.58500998054</v>
      </c>
      <c r="Q176" s="107">
        <f>SUM(F176:F198)</f>
        <v>258685.85155008367</v>
      </c>
      <c r="R176" s="107">
        <f>SUM(M176:M198)</f>
        <v>248626.73345989667</v>
      </c>
      <c r="S176" s="109">
        <f>SUMPRODUCT(($C$55:$C$67)*($D$55:$D$67&gt;=$A176))</f>
        <v>0</v>
      </c>
      <c r="T176" s="150">
        <f>IF(C176&gt;$C$10,0,IF(AND($C$38&gt;0,A176&gt;=$C$38,EOMONTH(A176,0)&lt;=$C$39),E176*(1-$C$40)*(1-G$15),E176*(1-G$15)))+M176</f>
        <v>23583.599614319806</v>
      </c>
      <c r="U176" s="150">
        <f>IF(C176&gt;$C$10,0,IF(AND($C$38&gt;0,A176&gt;=$C$38,EOMONTH(A176,0)&lt;=$C$39),E176*(1-$C$40)*(1-H$15),E176*(1-H$15)))+M176</f>
        <v>22316.829532932192</v>
      </c>
      <c r="V176" s="150">
        <f>IF(C176&gt;$C$10,0,IF(AND($C$38&gt;0,A176&gt;=$C$38,EOMONTH(A176,0)&lt;=$C$39),E176*(1-$C$40)*(1-I$15),E176*(1-I$15)))+M176</f>
        <v>21050.059451544574</v>
      </c>
      <c r="W176" s="181">
        <f>IF(C176&gt;$C$10,0,IF(AND($C$38&gt;0,A176&gt;=$C$38,EOMONTH(A176,0)&lt;=$C$39),E176*(1-$C$40)*(1-F$34),E176*(1-F$34)))+M176</f>
        <v>24850.369695707421</v>
      </c>
      <c r="X176" s="179">
        <f>IF(C176&gt;$C$10,0,IF(AND($C$38&gt;0,A176&gt;=$C$38,EOMONTH(A176,0)&lt;=$C$39),E176*(1-$C$40)*(1-G$34),E176*(1-G$34)))+M176</f>
        <v>22316.829532932192</v>
      </c>
      <c r="Y176" s="178">
        <f>IF(C176&gt;$C$10,0,IF(AND($C$38&gt;0,A176&gt;=$C$38,EOMONTH(A176,0)&lt;=$C$39),E176*(1-$C$40)*(1-H$34),E176*(1-H$34)))+M176</f>
        <v>21050.059451544574</v>
      </c>
      <c r="Z176" s="179">
        <f>IF(C176&gt;$C$10,0,IF(AND($C$38&gt;0,A176&gt;=$C$38,EOMONTH(A176,0)&lt;=$C$39),E176*(1-$C$40)*(1-I$34),E176*(1-I$34)))+M176</f>
        <v>19783.289370156959</v>
      </c>
      <c r="AA176" s="180">
        <f>IF(C176&gt;$C$10,0,IF(AND($C$38&gt;0,A176&gt;=$C$38,EOMONTH(A176,0)&lt;=$C$39),E176*(1-$C$40)*(1-J$34),E176*(1-J$34)))+M176</f>
        <v>18516.519288769341</v>
      </c>
    </row>
    <row r="177" spans="1:27" x14ac:dyDescent="0.25">
      <c r="A177" s="98">
        <f>EDATE($C$8,102)</f>
        <v>46455</v>
      </c>
      <c r="B177" s="99">
        <f>EDATE($C$8,103)-1</f>
        <v>46485</v>
      </c>
      <c r="C177" s="92">
        <f t="shared" si="31"/>
        <v>103</v>
      </c>
      <c r="D177" s="100">
        <f t="shared" si="34"/>
        <v>9</v>
      </c>
      <c r="E177" s="101">
        <f t="shared" si="35"/>
        <v>12667.700813876159</v>
      </c>
      <c r="F177" s="94">
        <f t="shared" si="32"/>
        <v>12667.700813876159</v>
      </c>
      <c r="G177" s="95">
        <f t="shared" si="33"/>
        <v>0</v>
      </c>
      <c r="H177" s="94">
        <f t="shared" si="36"/>
        <v>4750.3878052035598</v>
      </c>
      <c r="I177" s="94">
        <f t="shared" si="37"/>
        <v>2375.1939026017799</v>
      </c>
      <c r="J177" s="94">
        <f t="shared" si="38"/>
        <v>3958.6565043362998</v>
      </c>
      <c r="K177" s="94">
        <f t="shared" si="39"/>
        <v>732.28711312641599</v>
      </c>
      <c r="L177" s="94">
        <f t="shared" si="40"/>
        <v>366.14355656320799</v>
      </c>
      <c r="M177" s="94">
        <f t="shared" si="28"/>
        <v>12182.668881831263</v>
      </c>
      <c r="N177" s="101">
        <f t="shared" si="41"/>
        <v>24850.369695707421</v>
      </c>
      <c r="O177" s="102">
        <f t="shared" si="30"/>
        <v>1.6566913130471614</v>
      </c>
      <c r="P177" s="101">
        <f>MAX(SUM(N177:N198)+S177,0)</f>
        <v>482462.21531427308</v>
      </c>
      <c r="Q177" s="101">
        <f>SUM(F177:F198)</f>
        <v>246018.15073620749</v>
      </c>
      <c r="R177" s="101">
        <f>SUM(M177:M198)</f>
        <v>236444.06457806539</v>
      </c>
      <c r="S177" s="103">
        <f>SUMPRODUCT(($C$55:$C$67)*($D$55:$D$67&gt;=$A177))</f>
        <v>0</v>
      </c>
      <c r="T177" s="150">
        <f>IF(C177&gt;$C$10,0,IF(AND($C$38&gt;0,A177&gt;=$C$38,EOMONTH(A177,0)&lt;=$C$39),E177*(1-$C$40)*(1-G$15),E177*(1-G$15)))+M177</f>
        <v>23583.599614319806</v>
      </c>
      <c r="U177" s="150">
        <f>IF(C177&gt;$C$10,0,IF(AND($C$38&gt;0,A177&gt;=$C$38,EOMONTH(A177,0)&lt;=$C$39),E177*(1-$C$40)*(1-H$15),E177*(1-H$15)))+M177</f>
        <v>22316.829532932192</v>
      </c>
      <c r="V177" s="150">
        <f>IF(C177&gt;$C$10,0,IF(AND($C$38&gt;0,A177&gt;=$C$38,EOMONTH(A177,0)&lt;=$C$39),E177*(1-$C$40)*(1-I$15),E177*(1-I$15)))+M177</f>
        <v>21050.059451544574</v>
      </c>
      <c r="W177" s="181">
        <f>IF(C177&gt;$C$10,0,IF(AND($C$38&gt;0,A177&gt;=$C$38,EOMONTH(A177,0)&lt;=$C$39),E177*(1-$C$40)*(1-F$34),E177*(1-F$34)))+M177</f>
        <v>24850.369695707421</v>
      </c>
      <c r="X177" s="179">
        <f>IF(C177&gt;$C$10,0,IF(AND($C$38&gt;0,A177&gt;=$C$38,EOMONTH(A177,0)&lt;=$C$39),E177*(1-$C$40)*(1-G$34),E177*(1-G$34)))+M177</f>
        <v>22316.829532932192</v>
      </c>
      <c r="Y177" s="178">
        <f>IF(C177&gt;$C$10,0,IF(AND($C$38&gt;0,A177&gt;=$C$38,EOMONTH(A177,0)&lt;=$C$39),E177*(1-$C$40)*(1-H$34),E177*(1-H$34)))+M177</f>
        <v>21050.059451544574</v>
      </c>
      <c r="Z177" s="179">
        <f>IF(C177&gt;$C$10,0,IF(AND($C$38&gt;0,A177&gt;=$C$38,EOMONTH(A177,0)&lt;=$C$39),E177*(1-$C$40)*(1-I$34),E177*(1-I$34)))+M177</f>
        <v>19783.289370156959</v>
      </c>
      <c r="AA177" s="180">
        <f>IF(C177&gt;$C$10,0,IF(AND($C$38&gt;0,A177&gt;=$C$38,EOMONTH(A177,0)&lt;=$C$39),E177*(1-$C$40)*(1-J$34),E177*(1-J$34)))+M177</f>
        <v>18516.519288769341</v>
      </c>
    </row>
    <row r="178" spans="1:27" x14ac:dyDescent="0.25">
      <c r="A178" s="104">
        <f>EDATE($C$8,103)</f>
        <v>46486</v>
      </c>
      <c r="B178" s="105">
        <f>EDATE($C$8,104)-1</f>
        <v>46515</v>
      </c>
      <c r="C178" s="92">
        <f t="shared" si="31"/>
        <v>104</v>
      </c>
      <c r="D178" s="106">
        <f t="shared" si="34"/>
        <v>9</v>
      </c>
      <c r="E178" s="107">
        <f t="shared" si="35"/>
        <v>12667.700813876159</v>
      </c>
      <c r="F178" s="94">
        <f t="shared" si="32"/>
        <v>12667.700813876159</v>
      </c>
      <c r="G178" s="95">
        <f t="shared" si="33"/>
        <v>0</v>
      </c>
      <c r="H178" s="94">
        <f t="shared" si="36"/>
        <v>4750.3878052035598</v>
      </c>
      <c r="I178" s="94">
        <f t="shared" si="37"/>
        <v>2375.1939026017799</v>
      </c>
      <c r="J178" s="94">
        <f t="shared" si="38"/>
        <v>3958.6565043362998</v>
      </c>
      <c r="K178" s="94">
        <f t="shared" si="39"/>
        <v>732.28711312641599</v>
      </c>
      <c r="L178" s="94">
        <f t="shared" si="40"/>
        <v>366.14355656320799</v>
      </c>
      <c r="M178" s="94">
        <f t="shared" si="28"/>
        <v>12182.668881831263</v>
      </c>
      <c r="N178" s="107">
        <f t="shared" si="41"/>
        <v>24850.369695707421</v>
      </c>
      <c r="O178" s="108">
        <f t="shared" si="30"/>
        <v>1.6566913130471614</v>
      </c>
      <c r="P178" s="107">
        <f>MAX(SUM(N178:N198)+S178,0)</f>
        <v>457611.84561856563</v>
      </c>
      <c r="Q178" s="107">
        <f>SUM(F178:F198)</f>
        <v>233350.44992233135</v>
      </c>
      <c r="R178" s="107">
        <f>SUM(M178:M198)</f>
        <v>224261.39569623413</v>
      </c>
      <c r="S178" s="109">
        <f>SUMPRODUCT(($C$55:$C$67)*($D$55:$D$67&gt;=$A178))</f>
        <v>0</v>
      </c>
      <c r="T178" s="150">
        <f>IF(C178&gt;$C$10,0,IF(AND($C$38&gt;0,A178&gt;=$C$38,EOMONTH(A178,0)&lt;=$C$39),E178*(1-$C$40)*(1-G$15),E178*(1-G$15)))+M178</f>
        <v>23583.599614319806</v>
      </c>
      <c r="U178" s="150">
        <f>IF(C178&gt;$C$10,0,IF(AND($C$38&gt;0,A178&gt;=$C$38,EOMONTH(A178,0)&lt;=$C$39),E178*(1-$C$40)*(1-H$15),E178*(1-H$15)))+M178</f>
        <v>22316.829532932192</v>
      </c>
      <c r="V178" s="150">
        <f>IF(C178&gt;$C$10,0,IF(AND($C$38&gt;0,A178&gt;=$C$38,EOMONTH(A178,0)&lt;=$C$39),E178*(1-$C$40)*(1-I$15),E178*(1-I$15)))+M178</f>
        <v>21050.059451544574</v>
      </c>
      <c r="W178" s="181">
        <f>IF(C178&gt;$C$10,0,IF(AND($C$38&gt;0,A178&gt;=$C$38,EOMONTH(A178,0)&lt;=$C$39),E178*(1-$C$40)*(1-F$34),E178*(1-F$34)))+M178</f>
        <v>24850.369695707421</v>
      </c>
      <c r="X178" s="179">
        <f>IF(C178&gt;$C$10,0,IF(AND($C$38&gt;0,A178&gt;=$C$38,EOMONTH(A178,0)&lt;=$C$39),E178*(1-$C$40)*(1-G$34),E178*(1-G$34)))+M178</f>
        <v>22316.829532932192</v>
      </c>
      <c r="Y178" s="178">
        <f>IF(C178&gt;$C$10,0,IF(AND($C$38&gt;0,A178&gt;=$C$38,EOMONTH(A178,0)&lt;=$C$39),E178*(1-$C$40)*(1-H$34),E178*(1-H$34)))+M178</f>
        <v>21050.059451544574</v>
      </c>
      <c r="Z178" s="179">
        <f>IF(C178&gt;$C$10,0,IF(AND($C$38&gt;0,A178&gt;=$C$38,EOMONTH(A178,0)&lt;=$C$39),E178*(1-$C$40)*(1-I$34),E178*(1-I$34)))+M178</f>
        <v>19783.289370156959</v>
      </c>
      <c r="AA178" s="180">
        <f>IF(C178&gt;$C$10,0,IF(AND($C$38&gt;0,A178&gt;=$C$38,EOMONTH(A178,0)&lt;=$C$39),E178*(1-$C$40)*(1-J$34),E178*(1-J$34)))+M178</f>
        <v>18516.519288769341</v>
      </c>
    </row>
    <row r="179" spans="1:27" x14ac:dyDescent="0.25">
      <c r="A179" s="98">
        <f>EDATE($C$8,104)</f>
        <v>46516</v>
      </c>
      <c r="B179" s="99">
        <f>EDATE($C$8,105)-1</f>
        <v>46546</v>
      </c>
      <c r="C179" s="92">
        <f t="shared" si="31"/>
        <v>105</v>
      </c>
      <c r="D179" s="100">
        <f t="shared" si="34"/>
        <v>9</v>
      </c>
      <c r="E179" s="101">
        <f t="shared" si="35"/>
        <v>12667.700813876159</v>
      </c>
      <c r="F179" s="94">
        <f t="shared" si="32"/>
        <v>12667.700813876159</v>
      </c>
      <c r="G179" s="95">
        <f t="shared" si="33"/>
        <v>0</v>
      </c>
      <c r="H179" s="94">
        <f t="shared" si="36"/>
        <v>4750.3878052035598</v>
      </c>
      <c r="I179" s="94">
        <f t="shared" si="37"/>
        <v>2375.1939026017799</v>
      </c>
      <c r="J179" s="94">
        <f t="shared" si="38"/>
        <v>3958.6565043362998</v>
      </c>
      <c r="K179" s="94">
        <f t="shared" si="39"/>
        <v>732.28711312641599</v>
      </c>
      <c r="L179" s="94">
        <f t="shared" si="40"/>
        <v>366.14355656320799</v>
      </c>
      <c r="M179" s="94">
        <f t="shared" si="28"/>
        <v>12182.668881831263</v>
      </c>
      <c r="N179" s="101">
        <f t="shared" si="41"/>
        <v>24850.369695707421</v>
      </c>
      <c r="O179" s="102">
        <f t="shared" si="30"/>
        <v>1.6566913130471614</v>
      </c>
      <c r="P179" s="101">
        <f>MAX(SUM(N179:N198)+S179,0)</f>
        <v>432761.47592285817</v>
      </c>
      <c r="Q179" s="101">
        <f>SUM(F179:F198)</f>
        <v>220682.74910845517</v>
      </c>
      <c r="R179" s="101">
        <f>SUM(M179:M198)</f>
        <v>212078.72681440288</v>
      </c>
      <c r="S179" s="103">
        <f>SUMPRODUCT(($C$55:$C$67)*($D$55:$D$67&gt;=$A179))</f>
        <v>0</v>
      </c>
      <c r="T179" s="150">
        <f>IF(C179&gt;$C$10,0,IF(AND($C$38&gt;0,A179&gt;=$C$38,EOMONTH(A179,0)&lt;=$C$39),E179*(1-$C$40)*(1-G$15),E179*(1-G$15)))+M179</f>
        <v>23583.599614319806</v>
      </c>
      <c r="U179" s="150">
        <f>IF(C179&gt;$C$10,0,IF(AND($C$38&gt;0,A179&gt;=$C$38,EOMONTH(A179,0)&lt;=$C$39),E179*(1-$C$40)*(1-H$15),E179*(1-H$15)))+M179</f>
        <v>22316.829532932192</v>
      </c>
      <c r="V179" s="150">
        <f>IF(C179&gt;$C$10,0,IF(AND($C$38&gt;0,A179&gt;=$C$38,EOMONTH(A179,0)&lt;=$C$39),E179*(1-$C$40)*(1-I$15),E179*(1-I$15)))+M179</f>
        <v>21050.059451544574</v>
      </c>
      <c r="W179" s="181">
        <f>IF(C179&gt;$C$10,0,IF(AND($C$38&gt;0,A179&gt;=$C$38,EOMONTH(A179,0)&lt;=$C$39),E179*(1-$C$40)*(1-F$34),E179*(1-F$34)))+M179</f>
        <v>24850.369695707421</v>
      </c>
      <c r="X179" s="179">
        <f>IF(C179&gt;$C$10,0,IF(AND($C$38&gt;0,A179&gt;=$C$38,EOMONTH(A179,0)&lt;=$C$39),E179*(1-$C$40)*(1-G$34),E179*(1-G$34)))+M179</f>
        <v>22316.829532932192</v>
      </c>
      <c r="Y179" s="178">
        <f>IF(C179&gt;$C$10,0,IF(AND($C$38&gt;0,A179&gt;=$C$38,EOMONTH(A179,0)&lt;=$C$39),E179*(1-$C$40)*(1-H$34),E179*(1-H$34)))+M179</f>
        <v>21050.059451544574</v>
      </c>
      <c r="Z179" s="179">
        <f>IF(C179&gt;$C$10,0,IF(AND($C$38&gt;0,A179&gt;=$C$38,EOMONTH(A179,0)&lt;=$C$39),E179*(1-$C$40)*(1-I$34),E179*(1-I$34)))+M179</f>
        <v>19783.289370156959</v>
      </c>
      <c r="AA179" s="180">
        <f>IF(C179&gt;$C$10,0,IF(AND($C$38&gt;0,A179&gt;=$C$38,EOMONTH(A179,0)&lt;=$C$39),E179*(1-$C$40)*(1-J$34),E179*(1-J$34)))+M179</f>
        <v>18516.519288769341</v>
      </c>
    </row>
    <row r="180" spans="1:27" x14ac:dyDescent="0.25">
      <c r="A180" s="104">
        <f>EDATE($C$8,105)</f>
        <v>46547</v>
      </c>
      <c r="B180" s="105">
        <f>EDATE($C$8,106)-1</f>
        <v>46576</v>
      </c>
      <c r="C180" s="92">
        <f t="shared" si="31"/>
        <v>106</v>
      </c>
      <c r="D180" s="106">
        <f t="shared" si="34"/>
        <v>9</v>
      </c>
      <c r="E180" s="107">
        <f t="shared" si="35"/>
        <v>12667.700813876159</v>
      </c>
      <c r="F180" s="94">
        <f t="shared" si="32"/>
        <v>12667.700813876159</v>
      </c>
      <c r="G180" s="95">
        <f t="shared" si="33"/>
        <v>0</v>
      </c>
      <c r="H180" s="94">
        <f t="shared" si="36"/>
        <v>4750.3878052035598</v>
      </c>
      <c r="I180" s="94">
        <f t="shared" si="37"/>
        <v>2375.1939026017799</v>
      </c>
      <c r="J180" s="94">
        <f t="shared" si="38"/>
        <v>3958.6565043362998</v>
      </c>
      <c r="K180" s="94">
        <f t="shared" si="39"/>
        <v>732.28711312641599</v>
      </c>
      <c r="L180" s="94">
        <f t="shared" si="40"/>
        <v>366.14355656320799</v>
      </c>
      <c r="M180" s="94">
        <f t="shared" si="28"/>
        <v>12182.668881831263</v>
      </c>
      <c r="N180" s="107">
        <f t="shared" si="41"/>
        <v>24850.369695707421</v>
      </c>
      <c r="O180" s="108">
        <f t="shared" si="30"/>
        <v>1.6566913130471614</v>
      </c>
      <c r="P180" s="107">
        <f>MAX(SUM(N180:N198)+S180,0)</f>
        <v>407911.10622715071</v>
      </c>
      <c r="Q180" s="107">
        <f>SUM(F180:F198)</f>
        <v>208015.04829457903</v>
      </c>
      <c r="R180" s="107">
        <f>SUM(M180:M198)</f>
        <v>199896.0579325716</v>
      </c>
      <c r="S180" s="109">
        <f>SUMPRODUCT(($C$55:$C$67)*($D$55:$D$67&gt;=$A180))</f>
        <v>0</v>
      </c>
      <c r="T180" s="150">
        <f>IF(C180&gt;$C$10,0,IF(AND($C$38&gt;0,A180&gt;=$C$38,EOMONTH(A180,0)&lt;=$C$39),E180*(1-$C$40)*(1-G$15),E180*(1-G$15)))+M180</f>
        <v>23583.599614319806</v>
      </c>
      <c r="U180" s="150">
        <f>IF(C180&gt;$C$10,0,IF(AND($C$38&gt;0,A180&gt;=$C$38,EOMONTH(A180,0)&lt;=$C$39),E180*(1-$C$40)*(1-H$15),E180*(1-H$15)))+M180</f>
        <v>22316.829532932192</v>
      </c>
      <c r="V180" s="150">
        <f>IF(C180&gt;$C$10,0,IF(AND($C$38&gt;0,A180&gt;=$C$38,EOMONTH(A180,0)&lt;=$C$39),E180*(1-$C$40)*(1-I$15),E180*(1-I$15)))+M180</f>
        <v>21050.059451544574</v>
      </c>
      <c r="W180" s="181">
        <f>IF(C180&gt;$C$10,0,IF(AND($C$38&gt;0,A180&gt;=$C$38,EOMONTH(A180,0)&lt;=$C$39),E180*(1-$C$40)*(1-F$34),E180*(1-F$34)))+M180</f>
        <v>24850.369695707421</v>
      </c>
      <c r="X180" s="179">
        <f>IF(C180&gt;$C$10,0,IF(AND($C$38&gt;0,A180&gt;=$C$38,EOMONTH(A180,0)&lt;=$C$39),E180*(1-$C$40)*(1-G$34),E180*(1-G$34)))+M180</f>
        <v>22316.829532932192</v>
      </c>
      <c r="Y180" s="178">
        <f>IF(C180&gt;$C$10,0,IF(AND($C$38&gt;0,A180&gt;=$C$38,EOMONTH(A180,0)&lt;=$C$39),E180*(1-$C$40)*(1-H$34),E180*(1-H$34)))+M180</f>
        <v>21050.059451544574</v>
      </c>
      <c r="Z180" s="179">
        <f>IF(C180&gt;$C$10,0,IF(AND($C$38&gt;0,A180&gt;=$C$38,EOMONTH(A180,0)&lt;=$C$39),E180*(1-$C$40)*(1-I$34),E180*(1-I$34)))+M180</f>
        <v>19783.289370156959</v>
      </c>
      <c r="AA180" s="180">
        <f>IF(C180&gt;$C$10,0,IF(AND($C$38&gt;0,A180&gt;=$C$38,EOMONTH(A180,0)&lt;=$C$39),E180*(1-$C$40)*(1-J$34),E180*(1-J$34)))+M180</f>
        <v>18516.519288769341</v>
      </c>
    </row>
    <row r="181" spans="1:27" x14ac:dyDescent="0.25">
      <c r="A181" s="98">
        <f>EDATE($C$8,106)</f>
        <v>46577</v>
      </c>
      <c r="B181" s="99">
        <f>EDATE($C$8,107)-1</f>
        <v>46607</v>
      </c>
      <c r="C181" s="92">
        <f t="shared" si="31"/>
        <v>107</v>
      </c>
      <c r="D181" s="100">
        <f t="shared" si="34"/>
        <v>9</v>
      </c>
      <c r="E181" s="101">
        <f t="shared" si="35"/>
        <v>12667.700813876159</v>
      </c>
      <c r="F181" s="94">
        <f t="shared" si="32"/>
        <v>12667.700813876159</v>
      </c>
      <c r="G181" s="95">
        <f t="shared" si="33"/>
        <v>0</v>
      </c>
      <c r="H181" s="94">
        <f t="shared" si="36"/>
        <v>4750.3878052035598</v>
      </c>
      <c r="I181" s="94">
        <f t="shared" si="37"/>
        <v>2375.1939026017799</v>
      </c>
      <c r="J181" s="94">
        <f t="shared" si="38"/>
        <v>3958.6565043362998</v>
      </c>
      <c r="K181" s="94">
        <f t="shared" si="39"/>
        <v>732.28711312641599</v>
      </c>
      <c r="L181" s="94">
        <f t="shared" si="40"/>
        <v>366.14355656320799</v>
      </c>
      <c r="M181" s="94">
        <f t="shared" si="28"/>
        <v>12182.668881831263</v>
      </c>
      <c r="N181" s="101">
        <f t="shared" si="41"/>
        <v>24850.369695707421</v>
      </c>
      <c r="O181" s="102">
        <f t="shared" si="30"/>
        <v>1.6566913130471614</v>
      </c>
      <c r="P181" s="101">
        <f>MAX(SUM(N181:N198)+S181,0)</f>
        <v>383060.73653144331</v>
      </c>
      <c r="Q181" s="101">
        <f>SUM(F181:F198)</f>
        <v>195347.34748070285</v>
      </c>
      <c r="R181" s="101">
        <f>SUM(M181:M198)</f>
        <v>187713.38905074034</v>
      </c>
      <c r="S181" s="103">
        <f>SUMPRODUCT(($C$55:$C$67)*($D$55:$D$67&gt;=$A181))</f>
        <v>0</v>
      </c>
      <c r="T181" s="150">
        <f>IF(C181&gt;$C$10,0,IF(AND($C$38&gt;0,A181&gt;=$C$38,EOMONTH(A181,0)&lt;=$C$39),E181*(1-$C$40)*(1-G$15),E181*(1-G$15)))+M181</f>
        <v>23583.599614319806</v>
      </c>
      <c r="U181" s="150">
        <f>IF(C181&gt;$C$10,0,IF(AND($C$38&gt;0,A181&gt;=$C$38,EOMONTH(A181,0)&lt;=$C$39),E181*(1-$C$40)*(1-H$15),E181*(1-H$15)))+M181</f>
        <v>22316.829532932192</v>
      </c>
      <c r="V181" s="150">
        <f>IF(C181&gt;$C$10,0,IF(AND($C$38&gt;0,A181&gt;=$C$38,EOMONTH(A181,0)&lt;=$C$39),E181*(1-$C$40)*(1-I$15),E181*(1-I$15)))+M181</f>
        <v>21050.059451544574</v>
      </c>
      <c r="W181" s="181">
        <f>IF(C181&gt;$C$10,0,IF(AND($C$38&gt;0,A181&gt;=$C$38,EOMONTH(A181,0)&lt;=$C$39),E181*(1-$C$40)*(1-F$34),E181*(1-F$34)))+M181</f>
        <v>24850.369695707421</v>
      </c>
      <c r="X181" s="179">
        <f>IF(C181&gt;$C$10,0,IF(AND($C$38&gt;0,A181&gt;=$C$38,EOMONTH(A181,0)&lt;=$C$39),E181*(1-$C$40)*(1-G$34),E181*(1-G$34)))+M181</f>
        <v>22316.829532932192</v>
      </c>
      <c r="Y181" s="178">
        <f>IF(C181&gt;$C$10,0,IF(AND($C$38&gt;0,A181&gt;=$C$38,EOMONTH(A181,0)&lt;=$C$39),E181*(1-$C$40)*(1-H$34),E181*(1-H$34)))+M181</f>
        <v>21050.059451544574</v>
      </c>
      <c r="Z181" s="179">
        <f>IF(C181&gt;$C$10,0,IF(AND($C$38&gt;0,A181&gt;=$C$38,EOMONTH(A181,0)&lt;=$C$39),E181*(1-$C$40)*(1-I$34),E181*(1-I$34)))+M181</f>
        <v>19783.289370156959</v>
      </c>
      <c r="AA181" s="180">
        <f>IF(C181&gt;$C$10,0,IF(AND($C$38&gt;0,A181&gt;=$C$38,EOMONTH(A181,0)&lt;=$C$39),E181*(1-$C$40)*(1-J$34),E181*(1-J$34)))+M181</f>
        <v>18516.519288769341</v>
      </c>
    </row>
    <row r="182" spans="1:27" x14ac:dyDescent="0.25">
      <c r="A182" s="104">
        <f>EDATE($C$8,107)</f>
        <v>46608</v>
      </c>
      <c r="B182" s="105">
        <f>EDATE($C$8,108)-1</f>
        <v>46638</v>
      </c>
      <c r="C182" s="92">
        <f t="shared" si="31"/>
        <v>108</v>
      </c>
      <c r="D182" s="106">
        <f t="shared" si="34"/>
        <v>9</v>
      </c>
      <c r="E182" s="107">
        <f t="shared" si="35"/>
        <v>12667.700813876159</v>
      </c>
      <c r="F182" s="94">
        <f t="shared" si="32"/>
        <v>12667.700813876159</v>
      </c>
      <c r="G182" s="95">
        <f t="shared" si="33"/>
        <v>0</v>
      </c>
      <c r="H182" s="94">
        <f t="shared" si="36"/>
        <v>4750.3878052035598</v>
      </c>
      <c r="I182" s="94">
        <f t="shared" si="37"/>
        <v>2375.1939026017799</v>
      </c>
      <c r="J182" s="94">
        <f t="shared" si="38"/>
        <v>3958.6565043362998</v>
      </c>
      <c r="K182" s="94">
        <f t="shared" si="39"/>
        <v>732.28711312641599</v>
      </c>
      <c r="L182" s="94">
        <f t="shared" si="40"/>
        <v>366.14355656320799</v>
      </c>
      <c r="M182" s="94">
        <f t="shared" si="28"/>
        <v>12182.668881831263</v>
      </c>
      <c r="N182" s="107">
        <f t="shared" si="41"/>
        <v>24850.369695707421</v>
      </c>
      <c r="O182" s="108">
        <f t="shared" si="30"/>
        <v>1.6566913130471614</v>
      </c>
      <c r="P182" s="107">
        <f>MAX(SUM(N182:N198)+S182,0)</f>
        <v>358210.36683573585</v>
      </c>
      <c r="Q182" s="107">
        <f>SUM(F182:F198)</f>
        <v>182679.64666682671</v>
      </c>
      <c r="R182" s="107">
        <f>SUM(M182:M198)</f>
        <v>175530.72016890909</v>
      </c>
      <c r="S182" s="109">
        <f>SUMPRODUCT(($C$55:$C$67)*($D$55:$D$67&gt;=$A182))</f>
        <v>0</v>
      </c>
      <c r="T182" s="150">
        <f>IF(C182&gt;$C$10,0,IF(AND($C$38&gt;0,A182&gt;=$C$38,EOMONTH(A182,0)&lt;=$C$39),E182*(1-$C$40)*(1-G$15),E182*(1-G$15)))+M182</f>
        <v>23583.599614319806</v>
      </c>
      <c r="U182" s="150">
        <f>IF(C182&gt;$C$10,0,IF(AND($C$38&gt;0,A182&gt;=$C$38,EOMONTH(A182,0)&lt;=$C$39),E182*(1-$C$40)*(1-H$15),E182*(1-H$15)))+M182</f>
        <v>22316.829532932192</v>
      </c>
      <c r="V182" s="150">
        <f>IF(C182&gt;$C$10,0,IF(AND($C$38&gt;0,A182&gt;=$C$38,EOMONTH(A182,0)&lt;=$C$39),E182*(1-$C$40)*(1-I$15),E182*(1-I$15)))+M182</f>
        <v>21050.059451544574</v>
      </c>
      <c r="W182" s="181">
        <f>IF(C182&gt;$C$10,0,IF(AND($C$38&gt;0,A182&gt;=$C$38,EOMONTH(A182,0)&lt;=$C$39),E182*(1-$C$40)*(1-F$34),E182*(1-F$34)))+M182</f>
        <v>24850.369695707421</v>
      </c>
      <c r="X182" s="179">
        <f>IF(C182&gt;$C$10,0,IF(AND($C$38&gt;0,A182&gt;=$C$38,EOMONTH(A182,0)&lt;=$C$39),E182*(1-$C$40)*(1-G$34),E182*(1-G$34)))+M182</f>
        <v>22316.829532932192</v>
      </c>
      <c r="Y182" s="178">
        <f>IF(C182&gt;$C$10,0,IF(AND($C$38&gt;0,A182&gt;=$C$38,EOMONTH(A182,0)&lt;=$C$39),E182*(1-$C$40)*(1-H$34),E182*(1-H$34)))+M182</f>
        <v>21050.059451544574</v>
      </c>
      <c r="Z182" s="179">
        <f>IF(C182&gt;$C$10,0,IF(AND($C$38&gt;0,A182&gt;=$C$38,EOMONTH(A182,0)&lt;=$C$39),E182*(1-$C$40)*(1-I$34),E182*(1-I$34)))+M182</f>
        <v>19783.289370156959</v>
      </c>
      <c r="AA182" s="180">
        <f>IF(C182&gt;$C$10,0,IF(AND($C$38&gt;0,A182&gt;=$C$38,EOMONTH(A182,0)&lt;=$C$39),E182*(1-$C$40)*(1-J$34),E182*(1-J$34)))+M182</f>
        <v>18516.519288769341</v>
      </c>
    </row>
    <row r="183" spans="1:27" x14ac:dyDescent="0.25">
      <c r="A183" s="98">
        <f>EDATE($C$8,108)</f>
        <v>46639</v>
      </c>
      <c r="B183" s="99">
        <f>EDATE($C$8,109)-1</f>
        <v>46668</v>
      </c>
      <c r="C183" s="92">
        <f t="shared" si="31"/>
        <v>109</v>
      </c>
      <c r="D183" s="100">
        <f t="shared" si="34"/>
        <v>10</v>
      </c>
      <c r="E183" s="101">
        <f t="shared" si="35"/>
        <v>13047.731838292444</v>
      </c>
      <c r="F183" s="94">
        <f t="shared" si="32"/>
        <v>13047.731838292444</v>
      </c>
      <c r="G183" s="95">
        <f t="shared" si="33"/>
        <v>0</v>
      </c>
      <c r="H183" s="94">
        <f t="shared" si="36"/>
        <v>4892.8994393596668</v>
      </c>
      <c r="I183" s="94">
        <f t="shared" si="37"/>
        <v>2446.4497196798334</v>
      </c>
      <c r="J183" s="94">
        <f t="shared" si="38"/>
        <v>4077.4161994663891</v>
      </c>
      <c r="K183" s="94">
        <f t="shared" si="39"/>
        <v>746.93285538894429</v>
      </c>
      <c r="L183" s="94">
        <f t="shared" si="40"/>
        <v>373.46642769447215</v>
      </c>
      <c r="M183" s="94">
        <f t="shared" si="28"/>
        <v>12537.164641589306</v>
      </c>
      <c r="N183" s="101">
        <f t="shared" si="41"/>
        <v>25584.896479881751</v>
      </c>
      <c r="O183" s="102">
        <f t="shared" si="30"/>
        <v>1.7056597653254499</v>
      </c>
      <c r="P183" s="101">
        <f>MAX(SUM(N183:N198)+S183,0)</f>
        <v>333359.9971400284</v>
      </c>
      <c r="Q183" s="101">
        <f>SUM(F183:F198)</f>
        <v>170011.94585295056</v>
      </c>
      <c r="R183" s="101">
        <f>SUM(M183:M198)</f>
        <v>163348.05128707783</v>
      </c>
      <c r="S183" s="103">
        <f>SUMPRODUCT(($C$55:$C$67)*($D$55:$D$67&gt;=$A183))</f>
        <v>0</v>
      </c>
      <c r="T183" s="150">
        <f>IF(C183&gt;$C$10,0,IF(AND($C$38&gt;0,A183&gt;=$C$38,EOMONTH(A183,0)&lt;=$C$39),E183*(1-$C$40)*(1-G$15),E183*(1-G$15)))+M183</f>
        <v>24280.123296052509</v>
      </c>
      <c r="U183" s="150">
        <f>IF(C183&gt;$C$10,0,IF(AND($C$38&gt;0,A183&gt;=$C$38,EOMONTH(A183,0)&lt;=$C$39),E183*(1-$C$40)*(1-H$15),E183*(1-H$15)))+M183</f>
        <v>22975.350112223263</v>
      </c>
      <c r="V183" s="150">
        <f>IF(C183&gt;$C$10,0,IF(AND($C$38&gt;0,A183&gt;=$C$38,EOMONTH(A183,0)&lt;=$C$39),E183*(1-$C$40)*(1-I$15),E183*(1-I$15)))+M183</f>
        <v>21670.576928394017</v>
      </c>
      <c r="W183" s="181">
        <f>IF(C183&gt;$C$10,0,IF(AND($C$38&gt;0,A183&gt;=$C$38,EOMONTH(A183,0)&lt;=$C$39),E183*(1-$C$40)*(1-F$34),E183*(1-F$34)))+M183</f>
        <v>25584.896479881751</v>
      </c>
      <c r="X183" s="179">
        <f>IF(C183&gt;$C$10,0,IF(AND($C$38&gt;0,A183&gt;=$C$38,EOMONTH(A183,0)&lt;=$C$39),E183*(1-$C$40)*(1-G$34),E183*(1-G$34)))+M183</f>
        <v>22975.350112223263</v>
      </c>
      <c r="Y183" s="178">
        <f>IF(C183&gt;$C$10,0,IF(AND($C$38&gt;0,A183&gt;=$C$38,EOMONTH(A183,0)&lt;=$C$39),E183*(1-$C$40)*(1-H$34),E183*(1-H$34)))+M183</f>
        <v>21670.576928394017</v>
      </c>
      <c r="Z183" s="179">
        <f>IF(C183&gt;$C$10,0,IF(AND($C$38&gt;0,A183&gt;=$C$38,EOMONTH(A183,0)&lt;=$C$39),E183*(1-$C$40)*(1-I$34),E183*(1-I$34)))+M183</f>
        <v>20365.803744564771</v>
      </c>
      <c r="AA183" s="180">
        <f>IF(C183&gt;$C$10,0,IF(AND($C$38&gt;0,A183&gt;=$C$38,EOMONTH(A183,0)&lt;=$C$39),E183*(1-$C$40)*(1-J$34),E183*(1-J$34)))+M183</f>
        <v>19061.030560735529</v>
      </c>
    </row>
    <row r="184" spans="1:27" x14ac:dyDescent="0.25">
      <c r="A184" s="104">
        <f>EDATE($C$8,109)</f>
        <v>46669</v>
      </c>
      <c r="B184" s="105">
        <f>EDATE($C$8,110)-1</f>
        <v>46699</v>
      </c>
      <c r="C184" s="92">
        <f t="shared" si="31"/>
        <v>110</v>
      </c>
      <c r="D184" s="106">
        <f t="shared" si="34"/>
        <v>10</v>
      </c>
      <c r="E184" s="107">
        <f t="shared" si="35"/>
        <v>13047.731838292444</v>
      </c>
      <c r="F184" s="94">
        <f t="shared" si="32"/>
        <v>13047.731838292444</v>
      </c>
      <c r="G184" s="95">
        <f t="shared" si="33"/>
        <v>0</v>
      </c>
      <c r="H184" s="94">
        <f t="shared" si="36"/>
        <v>4892.8994393596668</v>
      </c>
      <c r="I184" s="94">
        <f t="shared" si="37"/>
        <v>2446.4497196798334</v>
      </c>
      <c r="J184" s="94">
        <f t="shared" si="38"/>
        <v>4077.4161994663891</v>
      </c>
      <c r="K184" s="94">
        <f t="shared" si="39"/>
        <v>746.93285538894429</v>
      </c>
      <c r="L184" s="94">
        <f t="shared" si="40"/>
        <v>373.46642769447215</v>
      </c>
      <c r="M184" s="94">
        <f t="shared" si="28"/>
        <v>12537.164641589306</v>
      </c>
      <c r="N184" s="107">
        <f t="shared" si="41"/>
        <v>25584.896479881751</v>
      </c>
      <c r="O184" s="108">
        <f t="shared" si="30"/>
        <v>1.7056597653254499</v>
      </c>
      <c r="P184" s="107">
        <f>MAX(SUM(N184:N198)+S184,0)</f>
        <v>307775.10066014662</v>
      </c>
      <c r="Q184" s="107">
        <f>SUM(F184:F198)</f>
        <v>156964.21401465812</v>
      </c>
      <c r="R184" s="107">
        <f>SUM(M184:M198)</f>
        <v>150810.88664548853</v>
      </c>
      <c r="S184" s="109">
        <f>SUMPRODUCT(($C$55:$C$67)*($D$55:$D$67&gt;=$A184))</f>
        <v>0</v>
      </c>
      <c r="T184" s="150">
        <f>IF(C184&gt;$C$10,0,IF(AND($C$38&gt;0,A184&gt;=$C$38,EOMONTH(A184,0)&lt;=$C$39),E184*(1-$C$40)*(1-G$15),E184*(1-G$15)))+M184</f>
        <v>24280.123296052509</v>
      </c>
      <c r="U184" s="150">
        <f>IF(C184&gt;$C$10,0,IF(AND($C$38&gt;0,A184&gt;=$C$38,EOMONTH(A184,0)&lt;=$C$39),E184*(1-$C$40)*(1-H$15),E184*(1-H$15)))+M184</f>
        <v>22975.350112223263</v>
      </c>
      <c r="V184" s="150">
        <f>IF(C184&gt;$C$10,0,IF(AND($C$38&gt;0,A184&gt;=$C$38,EOMONTH(A184,0)&lt;=$C$39),E184*(1-$C$40)*(1-I$15),E184*(1-I$15)))+M184</f>
        <v>21670.576928394017</v>
      </c>
      <c r="W184" s="181">
        <f>IF(C184&gt;$C$10,0,IF(AND($C$38&gt;0,A184&gt;=$C$38,EOMONTH(A184,0)&lt;=$C$39),E184*(1-$C$40)*(1-F$34),E184*(1-F$34)))+M184</f>
        <v>25584.896479881751</v>
      </c>
      <c r="X184" s="179">
        <f>IF(C184&gt;$C$10,0,IF(AND($C$38&gt;0,A184&gt;=$C$38,EOMONTH(A184,0)&lt;=$C$39),E184*(1-$C$40)*(1-G$34),E184*(1-G$34)))+M184</f>
        <v>22975.350112223263</v>
      </c>
      <c r="Y184" s="178">
        <f>IF(C184&gt;$C$10,0,IF(AND($C$38&gt;0,A184&gt;=$C$38,EOMONTH(A184,0)&lt;=$C$39),E184*(1-$C$40)*(1-H$34),E184*(1-H$34)))+M184</f>
        <v>21670.576928394017</v>
      </c>
      <c r="Z184" s="179">
        <f>IF(C184&gt;$C$10,0,IF(AND($C$38&gt;0,A184&gt;=$C$38,EOMONTH(A184,0)&lt;=$C$39),E184*(1-$C$40)*(1-I$34),E184*(1-I$34)))+M184</f>
        <v>20365.803744564771</v>
      </c>
      <c r="AA184" s="180">
        <f>IF(C184&gt;$C$10,0,IF(AND($C$38&gt;0,A184&gt;=$C$38,EOMONTH(A184,0)&lt;=$C$39),E184*(1-$C$40)*(1-J$34),E184*(1-J$34)))+M184</f>
        <v>19061.030560735529</v>
      </c>
    </row>
    <row r="185" spans="1:27" x14ac:dyDescent="0.25">
      <c r="A185" s="98">
        <f>EDATE($C$8,110)</f>
        <v>46700</v>
      </c>
      <c r="B185" s="99">
        <f>EDATE($C$8,111)-1</f>
        <v>46729</v>
      </c>
      <c r="C185" s="92">
        <f t="shared" si="31"/>
        <v>111</v>
      </c>
      <c r="D185" s="100">
        <f t="shared" si="34"/>
        <v>10</v>
      </c>
      <c r="E185" s="101">
        <f t="shared" si="35"/>
        <v>13047.731838292444</v>
      </c>
      <c r="F185" s="94">
        <f t="shared" si="32"/>
        <v>13047.731838292444</v>
      </c>
      <c r="G185" s="95">
        <f t="shared" si="33"/>
        <v>0</v>
      </c>
      <c r="H185" s="94">
        <f t="shared" si="36"/>
        <v>4892.8994393596668</v>
      </c>
      <c r="I185" s="94">
        <f t="shared" si="37"/>
        <v>2446.4497196798334</v>
      </c>
      <c r="J185" s="94">
        <f t="shared" si="38"/>
        <v>4077.4161994663891</v>
      </c>
      <c r="K185" s="94">
        <f t="shared" si="39"/>
        <v>746.93285538894429</v>
      </c>
      <c r="L185" s="94">
        <f t="shared" si="40"/>
        <v>373.46642769447215</v>
      </c>
      <c r="M185" s="94">
        <f t="shared" si="28"/>
        <v>12537.164641589306</v>
      </c>
      <c r="N185" s="101">
        <f t="shared" si="41"/>
        <v>25584.896479881751</v>
      </c>
      <c r="O185" s="102">
        <f t="shared" si="30"/>
        <v>1.7056597653254499</v>
      </c>
      <c r="P185" s="101">
        <f>MAX(SUM(N185:N198)+S185,0)</f>
        <v>282190.20418026485</v>
      </c>
      <c r="Q185" s="101">
        <f>SUM(F185:F198)</f>
        <v>143916.48217636565</v>
      </c>
      <c r="R185" s="101">
        <f>SUM(M185:M198)</f>
        <v>138273.72200389922</v>
      </c>
      <c r="S185" s="103">
        <f>SUMPRODUCT(($C$55:$C$67)*($D$55:$D$67&gt;=$A185))</f>
        <v>0</v>
      </c>
      <c r="T185" s="150">
        <f>IF(C185&gt;$C$10,0,IF(AND($C$38&gt;0,A185&gt;=$C$38,EOMONTH(A185,0)&lt;=$C$39),E185*(1-$C$40)*(1-G$15),E185*(1-G$15)))+M185</f>
        <v>24280.123296052509</v>
      </c>
      <c r="U185" s="150">
        <f>IF(C185&gt;$C$10,0,IF(AND($C$38&gt;0,A185&gt;=$C$38,EOMONTH(A185,0)&lt;=$C$39),E185*(1-$C$40)*(1-H$15),E185*(1-H$15)))+M185</f>
        <v>22975.350112223263</v>
      </c>
      <c r="V185" s="150">
        <f>IF(C185&gt;$C$10,0,IF(AND($C$38&gt;0,A185&gt;=$C$38,EOMONTH(A185,0)&lt;=$C$39),E185*(1-$C$40)*(1-I$15),E185*(1-I$15)))+M185</f>
        <v>21670.576928394017</v>
      </c>
      <c r="W185" s="181">
        <f>IF(C185&gt;$C$10,0,IF(AND($C$38&gt;0,A185&gt;=$C$38,EOMONTH(A185,0)&lt;=$C$39),E185*(1-$C$40)*(1-F$34),E185*(1-F$34)))+M185</f>
        <v>25584.896479881751</v>
      </c>
      <c r="X185" s="179">
        <f>IF(C185&gt;$C$10,0,IF(AND($C$38&gt;0,A185&gt;=$C$38,EOMONTH(A185,0)&lt;=$C$39),E185*(1-$C$40)*(1-G$34),E185*(1-G$34)))+M185</f>
        <v>22975.350112223263</v>
      </c>
      <c r="Y185" s="178">
        <f>IF(C185&gt;$C$10,0,IF(AND($C$38&gt;0,A185&gt;=$C$38,EOMONTH(A185,0)&lt;=$C$39),E185*(1-$C$40)*(1-H$34),E185*(1-H$34)))+M185</f>
        <v>21670.576928394017</v>
      </c>
      <c r="Z185" s="179">
        <f>IF(C185&gt;$C$10,0,IF(AND($C$38&gt;0,A185&gt;=$C$38,EOMONTH(A185,0)&lt;=$C$39),E185*(1-$C$40)*(1-I$34),E185*(1-I$34)))+M185</f>
        <v>20365.803744564771</v>
      </c>
      <c r="AA185" s="180">
        <f>IF(C185&gt;$C$10,0,IF(AND($C$38&gt;0,A185&gt;=$C$38,EOMONTH(A185,0)&lt;=$C$39),E185*(1-$C$40)*(1-J$34),E185*(1-J$34)))+M185</f>
        <v>19061.030560735529</v>
      </c>
    </row>
    <row r="186" spans="1:27" x14ac:dyDescent="0.25">
      <c r="A186" s="104">
        <f>EDATE($C$8,111)</f>
        <v>46730</v>
      </c>
      <c r="B186" s="105">
        <f>EDATE($C$8,112)-1</f>
        <v>46760</v>
      </c>
      <c r="C186" s="92">
        <f t="shared" si="31"/>
        <v>112</v>
      </c>
      <c r="D186" s="106">
        <f t="shared" si="34"/>
        <v>10</v>
      </c>
      <c r="E186" s="107">
        <f t="shared" si="35"/>
        <v>13047.731838292444</v>
      </c>
      <c r="F186" s="94">
        <f t="shared" si="32"/>
        <v>13047.731838292444</v>
      </c>
      <c r="G186" s="95">
        <f t="shared" si="33"/>
        <v>0</v>
      </c>
      <c r="H186" s="94">
        <f t="shared" si="36"/>
        <v>4892.8994393596668</v>
      </c>
      <c r="I186" s="94">
        <f t="shared" si="37"/>
        <v>2446.4497196798334</v>
      </c>
      <c r="J186" s="94">
        <f t="shared" si="38"/>
        <v>4077.4161994663891</v>
      </c>
      <c r="K186" s="94">
        <f t="shared" si="39"/>
        <v>746.93285538894429</v>
      </c>
      <c r="L186" s="94">
        <f t="shared" si="40"/>
        <v>373.46642769447215</v>
      </c>
      <c r="M186" s="94">
        <f t="shared" si="28"/>
        <v>12537.164641589306</v>
      </c>
      <c r="N186" s="107">
        <f t="shared" si="41"/>
        <v>25584.896479881751</v>
      </c>
      <c r="O186" s="108">
        <f t="shared" si="30"/>
        <v>1.7056597653254499</v>
      </c>
      <c r="P186" s="107">
        <f>MAX(SUM(N186:N198)+S186,0)</f>
        <v>256605.30770038313</v>
      </c>
      <c r="Q186" s="107">
        <f>SUM(F186:F198)</f>
        <v>130868.75033807321</v>
      </c>
      <c r="R186" s="107">
        <f>SUM(M186:M198)</f>
        <v>125736.5573623099</v>
      </c>
      <c r="S186" s="109">
        <f>SUMPRODUCT(($C$55:$C$67)*($D$55:$D$67&gt;=$A186))</f>
        <v>0</v>
      </c>
      <c r="T186" s="150">
        <f>IF(C186&gt;$C$10,0,IF(AND($C$38&gt;0,A186&gt;=$C$38,EOMONTH(A186,0)&lt;=$C$39),E186*(1-$C$40)*(1-G$15),E186*(1-G$15)))+M186</f>
        <v>24280.123296052509</v>
      </c>
      <c r="U186" s="150">
        <f>IF(C186&gt;$C$10,0,IF(AND($C$38&gt;0,A186&gt;=$C$38,EOMONTH(A186,0)&lt;=$C$39),E186*(1-$C$40)*(1-H$15),E186*(1-H$15)))+M186</f>
        <v>22975.350112223263</v>
      </c>
      <c r="V186" s="150">
        <f>IF(C186&gt;$C$10,0,IF(AND($C$38&gt;0,A186&gt;=$C$38,EOMONTH(A186,0)&lt;=$C$39),E186*(1-$C$40)*(1-I$15),E186*(1-I$15)))+M186</f>
        <v>21670.576928394017</v>
      </c>
      <c r="W186" s="181">
        <f>IF(C186&gt;$C$10,0,IF(AND($C$38&gt;0,A186&gt;=$C$38,EOMONTH(A186,0)&lt;=$C$39),E186*(1-$C$40)*(1-F$34),E186*(1-F$34)))+M186</f>
        <v>25584.896479881751</v>
      </c>
      <c r="X186" s="179">
        <f>IF(C186&gt;$C$10,0,IF(AND($C$38&gt;0,A186&gt;=$C$38,EOMONTH(A186,0)&lt;=$C$39),E186*(1-$C$40)*(1-G$34),E186*(1-G$34)))+M186</f>
        <v>22975.350112223263</v>
      </c>
      <c r="Y186" s="178">
        <f>IF(C186&gt;$C$10,0,IF(AND($C$38&gt;0,A186&gt;=$C$38,EOMONTH(A186,0)&lt;=$C$39),E186*(1-$C$40)*(1-H$34),E186*(1-H$34)))+M186</f>
        <v>21670.576928394017</v>
      </c>
      <c r="Z186" s="179">
        <f>IF(C186&gt;$C$10,0,IF(AND($C$38&gt;0,A186&gt;=$C$38,EOMONTH(A186,0)&lt;=$C$39),E186*(1-$C$40)*(1-I$34),E186*(1-I$34)))+M186</f>
        <v>20365.803744564771</v>
      </c>
      <c r="AA186" s="180">
        <f>IF(C186&gt;$C$10,0,IF(AND($C$38&gt;0,A186&gt;=$C$38,EOMONTH(A186,0)&lt;=$C$39),E186*(1-$C$40)*(1-J$34),E186*(1-J$34)))+M186</f>
        <v>19061.030560735529</v>
      </c>
    </row>
    <row r="187" spans="1:27" x14ac:dyDescent="0.25">
      <c r="A187" s="98">
        <f>EDATE($C$8,112)</f>
        <v>46761</v>
      </c>
      <c r="B187" s="99">
        <f>EDATE($C$8,113)-1</f>
        <v>46791</v>
      </c>
      <c r="C187" s="92">
        <f t="shared" si="31"/>
        <v>113</v>
      </c>
      <c r="D187" s="100">
        <f t="shared" si="34"/>
        <v>10</v>
      </c>
      <c r="E187" s="101">
        <f t="shared" si="35"/>
        <v>13047.731838292444</v>
      </c>
      <c r="F187" s="94">
        <f t="shared" si="32"/>
        <v>13047.731838292444</v>
      </c>
      <c r="G187" s="95">
        <f t="shared" si="33"/>
        <v>0</v>
      </c>
      <c r="H187" s="94">
        <f t="shared" si="36"/>
        <v>4892.8994393596668</v>
      </c>
      <c r="I187" s="94">
        <f t="shared" si="37"/>
        <v>2446.4497196798334</v>
      </c>
      <c r="J187" s="94">
        <f t="shared" si="38"/>
        <v>4077.4161994663891</v>
      </c>
      <c r="K187" s="94">
        <f t="shared" si="39"/>
        <v>746.93285538894429</v>
      </c>
      <c r="L187" s="94">
        <f t="shared" si="40"/>
        <v>373.46642769447215</v>
      </c>
      <c r="M187" s="94">
        <f t="shared" si="28"/>
        <v>12537.164641589306</v>
      </c>
      <c r="N187" s="101">
        <f t="shared" si="41"/>
        <v>25584.896479881751</v>
      </c>
      <c r="O187" s="102">
        <f t="shared" si="30"/>
        <v>1.7056597653254499</v>
      </c>
      <c r="P187" s="101">
        <f>MAX(SUM(N187:N198)+S187,0)</f>
        <v>231020.41122050138</v>
      </c>
      <c r="Q187" s="101">
        <f>SUM(F187:F198)</f>
        <v>117821.01849978077</v>
      </c>
      <c r="R187" s="101">
        <f>SUM(M187:M198)</f>
        <v>113199.3927207206</v>
      </c>
      <c r="S187" s="103">
        <f>SUMPRODUCT(($C$55:$C$67)*($D$55:$D$67&gt;=$A187))</f>
        <v>0</v>
      </c>
      <c r="T187" s="150">
        <f>IF(C187&gt;$C$10,0,IF(AND($C$38&gt;0,A187&gt;=$C$38,EOMONTH(A187,0)&lt;=$C$39),E187*(1-$C$40)*(1-G$15),E187*(1-G$15)))+M187</f>
        <v>24280.123296052509</v>
      </c>
      <c r="U187" s="150">
        <f>IF(C187&gt;$C$10,0,IF(AND($C$38&gt;0,A187&gt;=$C$38,EOMONTH(A187,0)&lt;=$C$39),E187*(1-$C$40)*(1-H$15),E187*(1-H$15)))+M187</f>
        <v>22975.350112223263</v>
      </c>
      <c r="V187" s="150">
        <f>IF(C187&gt;$C$10,0,IF(AND($C$38&gt;0,A187&gt;=$C$38,EOMONTH(A187,0)&lt;=$C$39),E187*(1-$C$40)*(1-I$15),E187*(1-I$15)))+M187</f>
        <v>21670.576928394017</v>
      </c>
      <c r="W187" s="181">
        <f>IF(C187&gt;$C$10,0,IF(AND($C$38&gt;0,A187&gt;=$C$38,EOMONTH(A187,0)&lt;=$C$39),E187*(1-$C$40)*(1-F$34),E187*(1-F$34)))+M187</f>
        <v>25584.896479881751</v>
      </c>
      <c r="X187" s="179">
        <f>IF(C187&gt;$C$10,0,IF(AND($C$38&gt;0,A187&gt;=$C$38,EOMONTH(A187,0)&lt;=$C$39),E187*(1-$C$40)*(1-G$34),E187*(1-G$34)))+M187</f>
        <v>22975.350112223263</v>
      </c>
      <c r="Y187" s="178">
        <f>IF(C187&gt;$C$10,0,IF(AND($C$38&gt;0,A187&gt;=$C$38,EOMONTH(A187,0)&lt;=$C$39),E187*(1-$C$40)*(1-H$34),E187*(1-H$34)))+M187</f>
        <v>21670.576928394017</v>
      </c>
      <c r="Z187" s="179">
        <f>IF(C187&gt;$C$10,0,IF(AND($C$38&gt;0,A187&gt;=$C$38,EOMONTH(A187,0)&lt;=$C$39),E187*(1-$C$40)*(1-I$34),E187*(1-I$34)))+M187</f>
        <v>20365.803744564771</v>
      </c>
      <c r="AA187" s="180">
        <f>IF(C187&gt;$C$10,0,IF(AND($C$38&gt;0,A187&gt;=$C$38,EOMONTH(A187,0)&lt;=$C$39),E187*(1-$C$40)*(1-J$34),E187*(1-J$34)))+M187</f>
        <v>19061.030560735529</v>
      </c>
    </row>
    <row r="188" spans="1:27" x14ac:dyDescent="0.25">
      <c r="A188" s="104">
        <f>EDATE($C$8,113)</f>
        <v>46792</v>
      </c>
      <c r="B188" s="105">
        <f>EDATE($C$8,114)-1</f>
        <v>46820</v>
      </c>
      <c r="C188" s="92">
        <f t="shared" si="31"/>
        <v>114</v>
      </c>
      <c r="D188" s="106">
        <f t="shared" si="34"/>
        <v>10</v>
      </c>
      <c r="E188" s="107">
        <f t="shared" si="35"/>
        <v>13047.731838292444</v>
      </c>
      <c r="F188" s="94">
        <f t="shared" si="32"/>
        <v>13047.731838292444</v>
      </c>
      <c r="G188" s="95">
        <f t="shared" si="33"/>
        <v>0</v>
      </c>
      <c r="H188" s="94">
        <f t="shared" si="36"/>
        <v>4892.8994393596668</v>
      </c>
      <c r="I188" s="94">
        <f t="shared" si="37"/>
        <v>2446.4497196798334</v>
      </c>
      <c r="J188" s="94">
        <f t="shared" si="38"/>
        <v>4077.4161994663891</v>
      </c>
      <c r="K188" s="94">
        <f t="shared" si="39"/>
        <v>746.93285538894429</v>
      </c>
      <c r="L188" s="94">
        <f t="shared" si="40"/>
        <v>373.46642769447215</v>
      </c>
      <c r="M188" s="94">
        <f t="shared" si="28"/>
        <v>12537.164641589306</v>
      </c>
      <c r="N188" s="107">
        <f t="shared" si="41"/>
        <v>25584.896479881751</v>
      </c>
      <c r="O188" s="108">
        <f t="shared" si="30"/>
        <v>1.7056597653254499</v>
      </c>
      <c r="P188" s="107">
        <f>MAX(SUM(N188:N198)+S188,0)</f>
        <v>205435.51474061963</v>
      </c>
      <c r="Q188" s="107">
        <f>SUM(F188:F198)</f>
        <v>104773.28666148832</v>
      </c>
      <c r="R188" s="107">
        <f>SUM(M188:M198)</f>
        <v>100662.2280791313</v>
      </c>
      <c r="S188" s="109">
        <f>SUMPRODUCT(($C$55:$C$67)*($D$55:$D$67&gt;=$A188))</f>
        <v>0</v>
      </c>
      <c r="T188" s="150">
        <f>IF(C188&gt;$C$10,0,IF(AND($C$38&gt;0,A188&gt;=$C$38,EOMONTH(A188,0)&lt;=$C$39),E188*(1-$C$40)*(1-G$15),E188*(1-G$15)))+M188</f>
        <v>24280.123296052509</v>
      </c>
      <c r="U188" s="150">
        <f>IF(C188&gt;$C$10,0,IF(AND($C$38&gt;0,A188&gt;=$C$38,EOMONTH(A188,0)&lt;=$C$39),E188*(1-$C$40)*(1-H$15),E188*(1-H$15)))+M188</f>
        <v>22975.350112223263</v>
      </c>
      <c r="V188" s="150">
        <f>IF(C188&gt;$C$10,0,IF(AND($C$38&gt;0,A188&gt;=$C$38,EOMONTH(A188,0)&lt;=$C$39),E188*(1-$C$40)*(1-I$15),E188*(1-I$15)))+M188</f>
        <v>21670.576928394017</v>
      </c>
      <c r="W188" s="181">
        <f>IF(C188&gt;$C$10,0,IF(AND($C$38&gt;0,A188&gt;=$C$38,EOMONTH(A188,0)&lt;=$C$39),E188*(1-$C$40)*(1-F$34),E188*(1-F$34)))+M188</f>
        <v>25584.896479881751</v>
      </c>
      <c r="X188" s="179">
        <f>IF(C188&gt;$C$10,0,IF(AND($C$38&gt;0,A188&gt;=$C$38,EOMONTH(A188,0)&lt;=$C$39),E188*(1-$C$40)*(1-G$34),E188*(1-G$34)))+M188</f>
        <v>22975.350112223263</v>
      </c>
      <c r="Y188" s="178">
        <f>IF(C188&gt;$C$10,0,IF(AND($C$38&gt;0,A188&gt;=$C$38,EOMONTH(A188,0)&lt;=$C$39),E188*(1-$C$40)*(1-H$34),E188*(1-H$34)))+M188</f>
        <v>21670.576928394017</v>
      </c>
      <c r="Z188" s="179">
        <f>IF(C188&gt;$C$10,0,IF(AND($C$38&gt;0,A188&gt;=$C$38,EOMONTH(A188,0)&lt;=$C$39),E188*(1-$C$40)*(1-I$34),E188*(1-I$34)))+M188</f>
        <v>20365.803744564771</v>
      </c>
      <c r="AA188" s="180">
        <f>IF(C188&gt;$C$10,0,IF(AND($C$38&gt;0,A188&gt;=$C$38,EOMONTH(A188,0)&lt;=$C$39),E188*(1-$C$40)*(1-J$34),E188*(1-J$34)))+M188</f>
        <v>19061.030560735529</v>
      </c>
    </row>
    <row r="189" spans="1:27" x14ac:dyDescent="0.25">
      <c r="A189" s="98">
        <f>EDATE($C$8,114)</f>
        <v>46821</v>
      </c>
      <c r="B189" s="99">
        <f>EDATE($C$8,115)-1</f>
        <v>46851</v>
      </c>
      <c r="C189" s="92">
        <f t="shared" si="31"/>
        <v>115</v>
      </c>
      <c r="D189" s="100">
        <f t="shared" si="34"/>
        <v>10</v>
      </c>
      <c r="E189" s="101">
        <f t="shared" si="35"/>
        <v>13047.731838292444</v>
      </c>
      <c r="F189" s="94">
        <f t="shared" si="32"/>
        <v>13047.731838292444</v>
      </c>
      <c r="G189" s="95">
        <f t="shared" si="33"/>
        <v>0</v>
      </c>
      <c r="H189" s="94">
        <f t="shared" si="36"/>
        <v>4892.8994393596668</v>
      </c>
      <c r="I189" s="94">
        <f t="shared" si="37"/>
        <v>2446.4497196798334</v>
      </c>
      <c r="J189" s="94">
        <f t="shared" si="38"/>
        <v>4077.4161994663891</v>
      </c>
      <c r="K189" s="94">
        <f t="shared" si="39"/>
        <v>746.93285538894429</v>
      </c>
      <c r="L189" s="94">
        <f t="shared" si="40"/>
        <v>373.46642769447215</v>
      </c>
      <c r="M189" s="94">
        <f t="shared" si="28"/>
        <v>12537.164641589306</v>
      </c>
      <c r="N189" s="101">
        <f t="shared" si="41"/>
        <v>25584.896479881751</v>
      </c>
      <c r="O189" s="102">
        <f t="shared" si="30"/>
        <v>1.7056597653254499</v>
      </c>
      <c r="P189" s="101">
        <f>MAX(SUM(N189:N198)+S189,0)</f>
        <v>179850.61826073789</v>
      </c>
      <c r="Q189" s="101">
        <f>SUM(F189:F198)</f>
        <v>91725.554823195882</v>
      </c>
      <c r="R189" s="101">
        <f>SUM(M189:M198)</f>
        <v>88125.06343754199</v>
      </c>
      <c r="S189" s="103">
        <f>SUMPRODUCT(($C$55:$C$67)*($D$55:$D$67&gt;=$A189))</f>
        <v>0</v>
      </c>
      <c r="T189" s="150">
        <f>IF(C189&gt;$C$10,0,IF(AND($C$38&gt;0,A189&gt;=$C$38,EOMONTH(A189,0)&lt;=$C$39),E189*(1-$C$40)*(1-G$15),E189*(1-G$15)))+M189</f>
        <v>24280.123296052509</v>
      </c>
      <c r="U189" s="150">
        <f>IF(C189&gt;$C$10,0,IF(AND($C$38&gt;0,A189&gt;=$C$38,EOMONTH(A189,0)&lt;=$C$39),E189*(1-$C$40)*(1-H$15),E189*(1-H$15)))+M189</f>
        <v>22975.350112223263</v>
      </c>
      <c r="V189" s="150">
        <f>IF(C189&gt;$C$10,0,IF(AND($C$38&gt;0,A189&gt;=$C$38,EOMONTH(A189,0)&lt;=$C$39),E189*(1-$C$40)*(1-I$15),E189*(1-I$15)))+M189</f>
        <v>21670.576928394017</v>
      </c>
      <c r="W189" s="181">
        <f>IF(C189&gt;$C$10,0,IF(AND($C$38&gt;0,A189&gt;=$C$38,EOMONTH(A189,0)&lt;=$C$39),E189*(1-$C$40)*(1-F$34),E189*(1-F$34)))+M189</f>
        <v>25584.896479881751</v>
      </c>
      <c r="X189" s="179">
        <f>IF(C189&gt;$C$10,0,IF(AND($C$38&gt;0,A189&gt;=$C$38,EOMONTH(A189,0)&lt;=$C$39),E189*(1-$C$40)*(1-G$34),E189*(1-G$34)))+M189</f>
        <v>22975.350112223263</v>
      </c>
      <c r="Y189" s="178">
        <f>IF(C189&gt;$C$10,0,IF(AND($C$38&gt;0,A189&gt;=$C$38,EOMONTH(A189,0)&lt;=$C$39),E189*(1-$C$40)*(1-H$34),E189*(1-H$34)))+M189</f>
        <v>21670.576928394017</v>
      </c>
      <c r="Z189" s="179">
        <f>IF(C189&gt;$C$10,0,IF(AND($C$38&gt;0,A189&gt;=$C$38,EOMONTH(A189,0)&lt;=$C$39),E189*(1-$C$40)*(1-I$34),E189*(1-I$34)))+M189</f>
        <v>20365.803744564771</v>
      </c>
      <c r="AA189" s="180">
        <f>IF(C189&gt;$C$10,0,IF(AND($C$38&gt;0,A189&gt;=$C$38,EOMONTH(A189,0)&lt;=$C$39),E189*(1-$C$40)*(1-J$34),E189*(1-J$34)))+M189</f>
        <v>19061.030560735529</v>
      </c>
    </row>
    <row r="190" spans="1:27" x14ac:dyDescent="0.25">
      <c r="A190" s="104">
        <f>EDATE($C$8,115)</f>
        <v>46852</v>
      </c>
      <c r="B190" s="105">
        <f>EDATE($C$8,116)-1</f>
        <v>46881</v>
      </c>
      <c r="C190" s="92">
        <f t="shared" si="31"/>
        <v>116</v>
      </c>
      <c r="D190" s="106">
        <f t="shared" si="34"/>
        <v>10</v>
      </c>
      <c r="E190" s="107">
        <f t="shared" si="35"/>
        <v>13047.731838292444</v>
      </c>
      <c r="F190" s="94">
        <f t="shared" si="32"/>
        <v>13047.731838292444</v>
      </c>
      <c r="G190" s="95">
        <f t="shared" si="33"/>
        <v>0</v>
      </c>
      <c r="H190" s="94">
        <f t="shared" si="36"/>
        <v>4892.8994393596668</v>
      </c>
      <c r="I190" s="94">
        <f t="shared" si="37"/>
        <v>2446.4497196798334</v>
      </c>
      <c r="J190" s="94">
        <f t="shared" si="38"/>
        <v>4077.4161994663891</v>
      </c>
      <c r="K190" s="94">
        <f t="shared" si="39"/>
        <v>746.93285538894429</v>
      </c>
      <c r="L190" s="94">
        <f t="shared" si="40"/>
        <v>373.46642769447215</v>
      </c>
      <c r="M190" s="94">
        <f t="shared" si="28"/>
        <v>12537.164641589306</v>
      </c>
      <c r="N190" s="107">
        <f t="shared" si="41"/>
        <v>25584.896479881751</v>
      </c>
      <c r="O190" s="108">
        <f t="shared" si="30"/>
        <v>1.7056597653254499</v>
      </c>
      <c r="P190" s="107">
        <f>MAX(SUM(N190:N198)+S190,0)</f>
        <v>154265.72178085611</v>
      </c>
      <c r="Q190" s="107">
        <f>SUM(F190:F198)</f>
        <v>78677.82298490344</v>
      </c>
      <c r="R190" s="107">
        <f>SUM(M190:M198)</f>
        <v>75587.898795952686</v>
      </c>
      <c r="S190" s="109">
        <f>SUMPRODUCT(($C$55:$C$67)*($D$55:$D$67&gt;=$A190))</f>
        <v>0</v>
      </c>
      <c r="T190" s="150">
        <f>IF(C190&gt;$C$10,0,IF(AND($C$38&gt;0,A190&gt;=$C$38,EOMONTH(A190,0)&lt;=$C$39),E190*(1-$C$40)*(1-G$15),E190*(1-G$15)))+M190</f>
        <v>24280.123296052509</v>
      </c>
      <c r="U190" s="150">
        <f>IF(C190&gt;$C$10,0,IF(AND($C$38&gt;0,A190&gt;=$C$38,EOMONTH(A190,0)&lt;=$C$39),E190*(1-$C$40)*(1-H$15),E190*(1-H$15)))+M190</f>
        <v>22975.350112223263</v>
      </c>
      <c r="V190" s="150">
        <f>IF(C190&gt;$C$10,0,IF(AND($C$38&gt;0,A190&gt;=$C$38,EOMONTH(A190,0)&lt;=$C$39),E190*(1-$C$40)*(1-I$15),E190*(1-I$15)))+M190</f>
        <v>21670.576928394017</v>
      </c>
      <c r="W190" s="181">
        <f>IF(C190&gt;$C$10,0,IF(AND($C$38&gt;0,A190&gt;=$C$38,EOMONTH(A190,0)&lt;=$C$39),E190*(1-$C$40)*(1-F$34),E190*(1-F$34)))+M190</f>
        <v>25584.896479881751</v>
      </c>
      <c r="X190" s="179">
        <f>IF(C190&gt;$C$10,0,IF(AND($C$38&gt;0,A190&gt;=$C$38,EOMONTH(A190,0)&lt;=$C$39),E190*(1-$C$40)*(1-G$34),E190*(1-G$34)))+M190</f>
        <v>22975.350112223263</v>
      </c>
      <c r="Y190" s="178">
        <f>IF(C190&gt;$C$10,0,IF(AND($C$38&gt;0,A190&gt;=$C$38,EOMONTH(A190,0)&lt;=$C$39),E190*(1-$C$40)*(1-H$34),E190*(1-H$34)))+M190</f>
        <v>21670.576928394017</v>
      </c>
      <c r="Z190" s="179">
        <f>IF(C190&gt;$C$10,0,IF(AND($C$38&gt;0,A190&gt;=$C$38,EOMONTH(A190,0)&lt;=$C$39),E190*(1-$C$40)*(1-I$34),E190*(1-I$34)))+M190</f>
        <v>20365.803744564771</v>
      </c>
      <c r="AA190" s="180">
        <f>IF(C190&gt;$C$10,0,IF(AND($C$38&gt;0,A190&gt;=$C$38,EOMONTH(A190,0)&lt;=$C$39),E190*(1-$C$40)*(1-J$34),E190*(1-J$34)))+M190</f>
        <v>19061.030560735529</v>
      </c>
    </row>
    <row r="191" spans="1:27" x14ac:dyDescent="0.25">
      <c r="A191" s="98">
        <f>EDATE($C$8,116)</f>
        <v>46882</v>
      </c>
      <c r="B191" s="99">
        <f>EDATE($C$8,117)-1</f>
        <v>46912</v>
      </c>
      <c r="C191" s="92">
        <f t="shared" si="31"/>
        <v>117</v>
      </c>
      <c r="D191" s="100">
        <f t="shared" si="34"/>
        <v>10</v>
      </c>
      <c r="E191" s="101">
        <f t="shared" si="35"/>
        <v>13047.731838292444</v>
      </c>
      <c r="F191" s="94">
        <f t="shared" si="32"/>
        <v>13047.731838292444</v>
      </c>
      <c r="G191" s="95">
        <f t="shared" si="33"/>
        <v>0</v>
      </c>
      <c r="H191" s="94">
        <f t="shared" si="36"/>
        <v>4892.8994393596668</v>
      </c>
      <c r="I191" s="94">
        <f t="shared" si="37"/>
        <v>2446.4497196798334</v>
      </c>
      <c r="J191" s="94">
        <f t="shared" si="38"/>
        <v>4077.4161994663891</v>
      </c>
      <c r="K191" s="94">
        <f t="shared" si="39"/>
        <v>746.93285538894429</v>
      </c>
      <c r="L191" s="94">
        <f t="shared" si="40"/>
        <v>373.46642769447215</v>
      </c>
      <c r="M191" s="94">
        <f t="shared" si="28"/>
        <v>12537.164641589306</v>
      </c>
      <c r="N191" s="101">
        <f t="shared" si="41"/>
        <v>25584.896479881751</v>
      </c>
      <c r="O191" s="102">
        <f t="shared" si="30"/>
        <v>1.7056597653254499</v>
      </c>
      <c r="P191" s="101">
        <f>MAX(SUM(N191:N198)+S191,0)</f>
        <v>128680.82530097436</v>
      </c>
      <c r="Q191" s="101">
        <f>SUM(F191:F198)</f>
        <v>65630.091146610997</v>
      </c>
      <c r="R191" s="101">
        <f>SUM(M191:M198)</f>
        <v>63050.734154363381</v>
      </c>
      <c r="S191" s="103">
        <f>SUMPRODUCT(($C$55:$C$67)*($D$55:$D$67&gt;=$A191))</f>
        <v>0</v>
      </c>
      <c r="T191" s="150">
        <f>IF(C191&gt;$C$10,0,IF(AND($C$38&gt;0,A191&gt;=$C$38,EOMONTH(A191,0)&lt;=$C$39),E191*(1-$C$40)*(1-G$15),E191*(1-G$15)))+M191</f>
        <v>24280.123296052509</v>
      </c>
      <c r="U191" s="150">
        <f>IF(C191&gt;$C$10,0,IF(AND($C$38&gt;0,A191&gt;=$C$38,EOMONTH(A191,0)&lt;=$C$39),E191*(1-$C$40)*(1-H$15),E191*(1-H$15)))+M191</f>
        <v>22975.350112223263</v>
      </c>
      <c r="V191" s="150">
        <f>IF(C191&gt;$C$10,0,IF(AND($C$38&gt;0,A191&gt;=$C$38,EOMONTH(A191,0)&lt;=$C$39),E191*(1-$C$40)*(1-I$15),E191*(1-I$15)))+M191</f>
        <v>21670.576928394017</v>
      </c>
      <c r="W191" s="181">
        <f>IF(C191&gt;$C$10,0,IF(AND($C$38&gt;0,A191&gt;=$C$38,EOMONTH(A191,0)&lt;=$C$39),E191*(1-$C$40)*(1-F$34),E191*(1-F$34)))+M191</f>
        <v>25584.896479881751</v>
      </c>
      <c r="X191" s="179">
        <f>IF(C191&gt;$C$10,0,IF(AND($C$38&gt;0,A191&gt;=$C$38,EOMONTH(A191,0)&lt;=$C$39),E191*(1-$C$40)*(1-G$34),E191*(1-G$34)))+M191</f>
        <v>22975.350112223263</v>
      </c>
      <c r="Y191" s="178">
        <f>IF(C191&gt;$C$10,0,IF(AND($C$38&gt;0,A191&gt;=$C$38,EOMONTH(A191,0)&lt;=$C$39),E191*(1-$C$40)*(1-H$34),E191*(1-H$34)))+M191</f>
        <v>21670.576928394017</v>
      </c>
      <c r="Z191" s="179">
        <f>IF(C191&gt;$C$10,0,IF(AND($C$38&gt;0,A191&gt;=$C$38,EOMONTH(A191,0)&lt;=$C$39),E191*(1-$C$40)*(1-I$34),E191*(1-I$34)))+M191</f>
        <v>20365.803744564771</v>
      </c>
      <c r="AA191" s="180">
        <f>IF(C191&gt;$C$10,0,IF(AND($C$38&gt;0,A191&gt;=$C$38,EOMONTH(A191,0)&lt;=$C$39),E191*(1-$C$40)*(1-J$34),E191*(1-J$34)))+M191</f>
        <v>19061.030560735529</v>
      </c>
    </row>
    <row r="192" spans="1:27" x14ac:dyDescent="0.25">
      <c r="A192" s="104">
        <f>EDATE($C$8,117)</f>
        <v>46913</v>
      </c>
      <c r="B192" s="105">
        <f>EDATE($C$8,118)-1</f>
        <v>46942</v>
      </c>
      <c r="C192" s="92">
        <f t="shared" si="31"/>
        <v>118</v>
      </c>
      <c r="D192" s="106">
        <f t="shared" si="34"/>
        <v>10</v>
      </c>
      <c r="E192" s="107">
        <f t="shared" si="35"/>
        <v>13047.731838292444</v>
      </c>
      <c r="F192" s="94">
        <f t="shared" si="32"/>
        <v>13047.731838292444</v>
      </c>
      <c r="G192" s="95">
        <f t="shared" si="33"/>
        <v>0</v>
      </c>
      <c r="H192" s="94">
        <f t="shared" si="36"/>
        <v>4892.8994393596668</v>
      </c>
      <c r="I192" s="94">
        <f t="shared" si="37"/>
        <v>2446.4497196798334</v>
      </c>
      <c r="J192" s="94">
        <f t="shared" si="38"/>
        <v>4077.4161994663891</v>
      </c>
      <c r="K192" s="94">
        <f t="shared" si="39"/>
        <v>746.93285538894429</v>
      </c>
      <c r="L192" s="94">
        <f t="shared" si="40"/>
        <v>373.46642769447215</v>
      </c>
      <c r="M192" s="94">
        <f t="shared" si="28"/>
        <v>12537.164641589306</v>
      </c>
      <c r="N192" s="107">
        <f t="shared" si="41"/>
        <v>25584.896479881751</v>
      </c>
      <c r="O192" s="108">
        <f t="shared" si="30"/>
        <v>1.7056597653254499</v>
      </c>
      <c r="P192" s="107">
        <f>MAX(SUM(N192:N198)+S192,0)</f>
        <v>103095.92882109262</v>
      </c>
      <c r="Q192" s="107">
        <f>SUM(F192:F198)</f>
        <v>52582.359308318555</v>
      </c>
      <c r="R192" s="107">
        <f>SUM(M192:M198)</f>
        <v>50513.569512774076</v>
      </c>
      <c r="S192" s="109">
        <f>SUMPRODUCT(($C$55:$C$67)*($D$55:$D$67&gt;=$A192))</f>
        <v>0</v>
      </c>
      <c r="T192" s="150">
        <f>IF(C192&gt;$C$10,0,IF(AND($C$38&gt;0,A192&gt;=$C$38,EOMONTH(A192,0)&lt;=$C$39),E192*(1-$C$40)*(1-G$15),E192*(1-G$15)))+M192</f>
        <v>24280.123296052509</v>
      </c>
      <c r="U192" s="150">
        <f>IF(C192&gt;$C$10,0,IF(AND($C$38&gt;0,A192&gt;=$C$38,EOMONTH(A192,0)&lt;=$C$39),E192*(1-$C$40)*(1-H$15),E192*(1-H$15)))+M192</f>
        <v>22975.350112223263</v>
      </c>
      <c r="V192" s="150">
        <f>IF(C192&gt;$C$10,0,IF(AND($C$38&gt;0,A192&gt;=$C$38,EOMONTH(A192,0)&lt;=$C$39),E192*(1-$C$40)*(1-I$15),E192*(1-I$15)))+M192</f>
        <v>21670.576928394017</v>
      </c>
      <c r="W192" s="181">
        <f>IF(C192&gt;$C$10,0,IF(AND($C$38&gt;0,A192&gt;=$C$38,EOMONTH(A192,0)&lt;=$C$39),E192*(1-$C$40)*(1-F$34),E192*(1-F$34)))+M192</f>
        <v>25584.896479881751</v>
      </c>
      <c r="X192" s="179">
        <f>IF(C192&gt;$C$10,0,IF(AND($C$38&gt;0,A192&gt;=$C$38,EOMONTH(A192,0)&lt;=$C$39),E192*(1-$C$40)*(1-G$34),E192*(1-G$34)))+M192</f>
        <v>22975.350112223263</v>
      </c>
      <c r="Y192" s="178">
        <f>IF(C192&gt;$C$10,0,IF(AND($C$38&gt;0,A192&gt;=$C$38,EOMONTH(A192,0)&lt;=$C$39),E192*(1-$C$40)*(1-H$34),E192*(1-H$34)))+M192</f>
        <v>21670.576928394017</v>
      </c>
      <c r="Z192" s="179">
        <f>IF(C192&gt;$C$10,0,IF(AND($C$38&gt;0,A192&gt;=$C$38,EOMONTH(A192,0)&lt;=$C$39),E192*(1-$C$40)*(1-I$34),E192*(1-I$34)))+M192</f>
        <v>20365.803744564771</v>
      </c>
      <c r="AA192" s="180">
        <f>IF(C192&gt;$C$10,0,IF(AND($C$38&gt;0,A192&gt;=$C$38,EOMONTH(A192,0)&lt;=$C$39),E192*(1-$C$40)*(1-J$34),E192*(1-J$34)))+M192</f>
        <v>19061.030560735529</v>
      </c>
    </row>
    <row r="193" spans="1:27" x14ac:dyDescent="0.25">
      <c r="A193" s="98">
        <f>EDATE($C$8,118)</f>
        <v>46943</v>
      </c>
      <c r="B193" s="99">
        <f>EDATE($C$8,119)-1</f>
        <v>46973</v>
      </c>
      <c r="C193" s="92">
        <f t="shared" si="31"/>
        <v>119</v>
      </c>
      <c r="D193" s="100">
        <f t="shared" si="34"/>
        <v>10</v>
      </c>
      <c r="E193" s="101">
        <f t="shared" si="35"/>
        <v>13047.731838292444</v>
      </c>
      <c r="F193" s="94">
        <f t="shared" si="32"/>
        <v>13047.731838292444</v>
      </c>
      <c r="G193" s="95">
        <f t="shared" si="33"/>
        <v>0</v>
      </c>
      <c r="H193" s="94">
        <f t="shared" si="36"/>
        <v>4892.8994393596668</v>
      </c>
      <c r="I193" s="94">
        <f t="shared" si="37"/>
        <v>2446.4497196798334</v>
      </c>
      <c r="J193" s="94">
        <f t="shared" si="38"/>
        <v>4077.4161994663891</v>
      </c>
      <c r="K193" s="94">
        <f t="shared" si="39"/>
        <v>746.93285538894429</v>
      </c>
      <c r="L193" s="94">
        <f t="shared" si="40"/>
        <v>373.46642769447215</v>
      </c>
      <c r="M193" s="94">
        <f t="shared" si="28"/>
        <v>12537.164641589306</v>
      </c>
      <c r="N193" s="101">
        <f t="shared" si="41"/>
        <v>25584.896479881751</v>
      </c>
      <c r="O193" s="102">
        <f t="shared" si="30"/>
        <v>1.7056597653254499</v>
      </c>
      <c r="P193" s="101">
        <f>MAX(SUM(N193:N198)+S193,0)</f>
        <v>77511.03234121087</v>
      </c>
      <c r="Q193" s="101">
        <f>SUM(F193:F198)</f>
        <v>39534.627470026106</v>
      </c>
      <c r="R193" s="101">
        <f>SUM(M193:M198)</f>
        <v>37976.404871184764</v>
      </c>
      <c r="S193" s="103">
        <f>SUMPRODUCT(($C$55:$C$67)*($D$55:$D$67&gt;=$A193))</f>
        <v>0</v>
      </c>
      <c r="T193" s="150">
        <f>IF(C193&gt;$C$10,0,IF(AND($C$38&gt;0,A193&gt;=$C$38,EOMONTH(A193,0)&lt;=$C$39),E193*(1-$C$40)*(1-G$15),E193*(1-G$15)))+M193</f>
        <v>24280.123296052509</v>
      </c>
      <c r="U193" s="150">
        <f>IF(C193&gt;$C$10,0,IF(AND($C$38&gt;0,A193&gt;=$C$38,EOMONTH(A193,0)&lt;=$C$39),E193*(1-$C$40)*(1-H$15),E193*(1-H$15)))+M193</f>
        <v>22975.350112223263</v>
      </c>
      <c r="V193" s="150">
        <f>IF(C193&gt;$C$10,0,IF(AND($C$38&gt;0,A193&gt;=$C$38,EOMONTH(A193,0)&lt;=$C$39),E193*(1-$C$40)*(1-I$15),E193*(1-I$15)))+M193</f>
        <v>21670.576928394017</v>
      </c>
      <c r="W193" s="181">
        <f>IF(C193&gt;$C$10,0,IF(AND($C$38&gt;0,A193&gt;=$C$38,EOMONTH(A193,0)&lt;=$C$39),E193*(1-$C$40)*(1-F$34),E193*(1-F$34)))+M193</f>
        <v>25584.896479881751</v>
      </c>
      <c r="X193" s="179">
        <f>IF(C193&gt;$C$10,0,IF(AND($C$38&gt;0,A193&gt;=$C$38,EOMONTH(A193,0)&lt;=$C$39),E193*(1-$C$40)*(1-G$34),E193*(1-G$34)))+M193</f>
        <v>22975.350112223263</v>
      </c>
      <c r="Y193" s="178">
        <f>IF(C193&gt;$C$10,0,IF(AND($C$38&gt;0,A193&gt;=$C$38,EOMONTH(A193,0)&lt;=$C$39),E193*(1-$C$40)*(1-H$34),E193*(1-H$34)))+M193</f>
        <v>21670.576928394017</v>
      </c>
      <c r="Z193" s="179">
        <f>IF(C193&gt;$C$10,0,IF(AND($C$38&gt;0,A193&gt;=$C$38,EOMONTH(A193,0)&lt;=$C$39),E193*(1-$C$40)*(1-I$34),E193*(1-I$34)))+M193</f>
        <v>20365.803744564771</v>
      </c>
      <c r="AA193" s="180">
        <f>IF(C193&gt;$C$10,0,IF(AND($C$38&gt;0,A193&gt;=$C$38,EOMONTH(A193,0)&lt;=$C$39),E193*(1-$C$40)*(1-J$34),E193*(1-J$34)))+M193</f>
        <v>19061.030560735529</v>
      </c>
    </row>
    <row r="194" spans="1:27" x14ac:dyDescent="0.25">
      <c r="A194" s="104">
        <f>EDATE($C$8,119)</f>
        <v>46974</v>
      </c>
      <c r="B194" s="105">
        <f>EDATE($C$8,120)-1</f>
        <v>47004</v>
      </c>
      <c r="C194" s="92">
        <f t="shared" si="31"/>
        <v>120</v>
      </c>
      <c r="D194" s="106">
        <f t="shared" si="34"/>
        <v>10</v>
      </c>
      <c r="E194" s="107">
        <f t="shared" si="35"/>
        <v>13047.731838292444</v>
      </c>
      <c r="F194" s="94">
        <f t="shared" si="32"/>
        <v>13047.731838292444</v>
      </c>
      <c r="G194" s="95">
        <f t="shared" si="33"/>
        <v>0</v>
      </c>
      <c r="H194" s="94">
        <f t="shared" si="36"/>
        <v>4892.8994393596668</v>
      </c>
      <c r="I194" s="94">
        <f t="shared" si="37"/>
        <v>2446.4497196798334</v>
      </c>
      <c r="J194" s="94">
        <f t="shared" si="38"/>
        <v>4077.4161994663891</v>
      </c>
      <c r="K194" s="94">
        <f t="shared" si="39"/>
        <v>746.93285538894429</v>
      </c>
      <c r="L194" s="94">
        <f t="shared" si="40"/>
        <v>373.46642769447215</v>
      </c>
      <c r="M194" s="94">
        <f t="shared" si="28"/>
        <v>12537.164641589306</v>
      </c>
      <c r="N194" s="107">
        <f t="shared" si="41"/>
        <v>25584.896479881751</v>
      </c>
      <c r="O194" s="108">
        <f t="shared" si="30"/>
        <v>1.7056597653254499</v>
      </c>
      <c r="P194" s="107">
        <f>MAX(SUM(N194:N198)+S194,0)</f>
        <v>51926.135861329123</v>
      </c>
      <c r="Q194" s="107">
        <f>SUM(F194:F198)</f>
        <v>26486.895631733663</v>
      </c>
      <c r="R194" s="107">
        <f>SUM(M194:M198)</f>
        <v>25439.24022959546</v>
      </c>
      <c r="S194" s="109">
        <f>SUMPRODUCT(($C$55:$C$67)*($D$55:$D$67&gt;=$A194))</f>
        <v>0</v>
      </c>
      <c r="T194" s="150">
        <f>IF(C194&gt;$C$10,0,IF(AND($C$38&gt;0,A194&gt;=$C$38,EOMONTH(A194,0)&lt;=$C$39),E194*(1-$C$40)*(1-G$15),E194*(1-G$15)))+M194</f>
        <v>24280.123296052509</v>
      </c>
      <c r="U194" s="150">
        <f>IF(C194&gt;$C$10,0,IF(AND($C$38&gt;0,A194&gt;=$C$38,EOMONTH(A194,0)&lt;=$C$39),E194*(1-$C$40)*(1-H$15),E194*(1-H$15)))+M194</f>
        <v>22975.350112223263</v>
      </c>
      <c r="V194" s="150">
        <f>IF(C194&gt;$C$10,0,IF(AND($C$38&gt;0,A194&gt;=$C$38,EOMONTH(A194,0)&lt;=$C$39),E194*(1-$C$40)*(1-I$15),E194*(1-I$15)))+M194</f>
        <v>21670.576928394017</v>
      </c>
      <c r="W194" s="181">
        <f>IF(C194&gt;$C$10,0,IF(AND($C$38&gt;0,A194&gt;=$C$38,EOMONTH(A194,0)&lt;=$C$39),E194*(1-$C$40)*(1-F$34),E194*(1-F$34)))+M194</f>
        <v>25584.896479881751</v>
      </c>
      <c r="X194" s="179">
        <f>IF(C194&gt;$C$10,0,IF(AND($C$38&gt;0,A194&gt;=$C$38,EOMONTH(A194,0)&lt;=$C$39),E194*(1-$C$40)*(1-G$34),E194*(1-G$34)))+M194</f>
        <v>22975.350112223263</v>
      </c>
      <c r="Y194" s="178">
        <f>IF(C194&gt;$C$10,0,IF(AND($C$38&gt;0,A194&gt;=$C$38,EOMONTH(A194,0)&lt;=$C$39),E194*(1-$C$40)*(1-H$34),E194*(1-H$34)))+M194</f>
        <v>21670.576928394017</v>
      </c>
      <c r="Z194" s="179">
        <f>IF(C194&gt;$C$10,0,IF(AND($C$38&gt;0,A194&gt;=$C$38,EOMONTH(A194,0)&lt;=$C$39),E194*(1-$C$40)*(1-I$34),E194*(1-I$34)))+M194</f>
        <v>20365.803744564771</v>
      </c>
      <c r="AA194" s="180">
        <f>IF(C194&gt;$C$10,0,IF(AND($C$38&gt;0,A194&gt;=$C$38,EOMONTH(A194,0)&lt;=$C$39),E194*(1-$C$40)*(1-J$34),E194*(1-J$34)))+M194</f>
        <v>19061.030560735529</v>
      </c>
    </row>
    <row r="195" spans="1:27" x14ac:dyDescent="0.25">
      <c r="A195" s="98">
        <f>EDATE($C$8,120)</f>
        <v>47005</v>
      </c>
      <c r="B195" s="99">
        <f>EDATE($C$8,121)-1</f>
        <v>47034</v>
      </c>
      <c r="C195" s="92">
        <f t="shared" si="31"/>
        <v>121</v>
      </c>
      <c r="D195" s="100">
        <f t="shared" si="34"/>
        <v>11</v>
      </c>
      <c r="E195" s="101">
        <f t="shared" si="35"/>
        <v>13439.163793441217</v>
      </c>
      <c r="F195" s="94">
        <f t="shared" si="32"/>
        <v>13439.163793441217</v>
      </c>
      <c r="G195" s="95">
        <f t="shared" si="33"/>
        <v>0</v>
      </c>
      <c r="H195" s="94">
        <f t="shared" si="36"/>
        <v>5039.686422540457</v>
      </c>
      <c r="I195" s="94">
        <f t="shared" si="37"/>
        <v>2519.8432112702285</v>
      </c>
      <c r="J195" s="94">
        <f t="shared" si="38"/>
        <v>4199.7386854503802</v>
      </c>
      <c r="K195" s="94">
        <f t="shared" si="39"/>
        <v>761.8715124967232</v>
      </c>
      <c r="L195" s="94">
        <f t="shared" si="40"/>
        <v>380.9357562483616</v>
      </c>
      <c r="M195" s="94">
        <f t="shared" si="28"/>
        <v>12902.075588006152</v>
      </c>
      <c r="N195" s="101">
        <f t="shared" si="41"/>
        <v>26341.239381447369</v>
      </c>
      <c r="O195" s="102">
        <f t="shared" si="30"/>
        <v>1.7560826254298245</v>
      </c>
      <c r="P195" s="101">
        <f>MAX(SUM(N195:N198)+S195,0)</f>
        <v>26341.239381447369</v>
      </c>
      <c r="Q195" s="101">
        <f>SUM(F195:F198)</f>
        <v>13439.163793441217</v>
      </c>
      <c r="R195" s="101">
        <f>SUM(M195:M198)</f>
        <v>12902.075588006152</v>
      </c>
      <c r="S195" s="103">
        <f>SUMPRODUCT(($C$55:$C$67)*($D$55:$D$67&gt;=$A195))</f>
        <v>0</v>
      </c>
      <c r="T195" s="150">
        <f>IF(C195&gt;$C$10,0,IF(AND($C$38&gt;0,A195&gt;=$C$38,EOMONTH(A195,0)&lt;=$C$39),E195*(1-$C$40)*(1-G$15),E195*(1-G$15)))+M195</f>
        <v>24997.323002103247</v>
      </c>
      <c r="U195" s="150">
        <f>IF(C195&gt;$C$10,0,IF(AND($C$38&gt;0,A195&gt;=$C$38,EOMONTH(A195,0)&lt;=$C$39),E195*(1-$C$40)*(1-H$15),E195*(1-H$15)))+M195</f>
        <v>23653.406622759125</v>
      </c>
      <c r="V195" s="150">
        <f>IF(C195&gt;$C$10,0,IF(AND($C$38&gt;0,A195&gt;=$C$38,EOMONTH(A195,0)&lt;=$C$39),E195*(1-$C$40)*(1-I$15),E195*(1-I$15)))+M195</f>
        <v>22309.490243415003</v>
      </c>
      <c r="W195" s="181">
        <f>IF(C195&gt;$C$10,0,IF(AND($C$38&gt;0,A195&gt;=$C$38,EOMONTH(A195,0)&lt;=$C$39),E195*(1-$C$40)*(1-F$34),E195*(1-F$34)))+M195</f>
        <v>26341.239381447369</v>
      </c>
      <c r="X195" s="179">
        <f>IF(C195&gt;$C$10,0,IF(AND($C$38&gt;0,A195&gt;=$C$38,EOMONTH(A195,0)&lt;=$C$39),E195*(1-$C$40)*(1-G$34),E195*(1-G$34)))+M195</f>
        <v>23653.406622759125</v>
      </c>
      <c r="Y195" s="178">
        <f>IF(C195&gt;$C$10,0,IF(AND($C$38&gt;0,A195&gt;=$C$38,EOMONTH(A195,0)&lt;=$C$39),E195*(1-$C$40)*(1-H$34),E195*(1-H$34)))+M195</f>
        <v>22309.490243415003</v>
      </c>
      <c r="Z195" s="179">
        <f>IF(C195&gt;$C$10,0,IF(AND($C$38&gt;0,A195&gt;=$C$38,EOMONTH(A195,0)&lt;=$C$39),E195*(1-$C$40)*(1-I$34),E195*(1-I$34)))+M195</f>
        <v>20965.573864070881</v>
      </c>
      <c r="AA195" s="180">
        <f>IF(C195&gt;$C$10,0,IF(AND($C$38&gt;0,A195&gt;=$C$38,EOMONTH(A195,0)&lt;=$C$39),E195*(1-$C$40)*(1-J$34),E195*(1-J$34)))+M195</f>
        <v>19621.657484726762</v>
      </c>
    </row>
    <row r="196" spans="1:27" x14ac:dyDescent="0.25">
      <c r="A196" s="104">
        <f>EDATE($C$8,121)</f>
        <v>47035</v>
      </c>
      <c r="B196" s="105">
        <f>EDATE($C$8,122)-1</f>
        <v>47065</v>
      </c>
      <c r="C196" s="92">
        <f t="shared" si="31"/>
        <v>122</v>
      </c>
      <c r="D196" s="106">
        <f t="shared" si="34"/>
        <v>11</v>
      </c>
      <c r="E196" s="107">
        <f t="shared" si="35"/>
        <v>0</v>
      </c>
      <c r="F196" s="94">
        <f t="shared" si="32"/>
        <v>0</v>
      </c>
      <c r="G196" s="95">
        <f t="shared" si="33"/>
        <v>0</v>
      </c>
      <c r="H196" s="94">
        <f t="shared" si="36"/>
        <v>0</v>
      </c>
      <c r="I196" s="94">
        <f t="shared" si="37"/>
        <v>0</v>
      </c>
      <c r="J196" s="94">
        <f t="shared" si="38"/>
        <v>0</v>
      </c>
      <c r="K196" s="94">
        <f t="shared" si="39"/>
        <v>0</v>
      </c>
      <c r="L196" s="94">
        <f t="shared" si="40"/>
        <v>0</v>
      </c>
      <c r="M196" s="94">
        <f t="shared" si="28"/>
        <v>0</v>
      </c>
      <c r="N196" s="107">
        <f t="shared" si="41"/>
        <v>0</v>
      </c>
      <c r="O196" s="108">
        <f t="shared" si="30"/>
        <v>0</v>
      </c>
      <c r="P196" s="107">
        <f>MAX(SUM(N196:N198)+S196,0)</f>
        <v>0</v>
      </c>
      <c r="Q196" s="107">
        <f>SUM(F196:F198)</f>
        <v>0</v>
      </c>
      <c r="R196" s="107">
        <f>SUM(M196:M198)</f>
        <v>0</v>
      </c>
      <c r="S196" s="109">
        <f>SUMPRODUCT(($C$55:$C$67)*($D$55:$D$67&gt;=$A196))</f>
        <v>0</v>
      </c>
      <c r="T196" s="150">
        <f>IF(C196&gt;$C$10,0,IF(AND($C$38&gt;0,A196&gt;=$C$38,EOMONTH(A196,0)&lt;=$C$39),E196*(1-$C$40)*(1-G$15),E196*(1-G$15)))+M196</f>
        <v>0</v>
      </c>
      <c r="U196" s="150">
        <f>IF(C196&gt;$C$10,0,IF(AND($C$38&gt;0,A196&gt;=$C$38,EOMONTH(A196,0)&lt;=$C$39),E196*(1-$C$40)*(1-H$15),E196*(1-H$15)))+M196</f>
        <v>0</v>
      </c>
      <c r="V196" s="150">
        <f>IF(C196&gt;$C$10,0,IF(AND($C$38&gt;0,A196&gt;=$C$38,EOMONTH(A196,0)&lt;=$C$39),E196*(1-$C$40)*(1-I$15),E196*(1-I$15)))+M196</f>
        <v>0</v>
      </c>
      <c r="W196" s="181">
        <f>IF(C196&gt;$C$10,0,IF(AND($C$38&gt;0,A196&gt;=$C$38,EOMONTH(A196,0)&lt;=$C$39),E196*(1-$C$40)*(1-F$34),E196*(1-F$34)))+M196</f>
        <v>0</v>
      </c>
      <c r="X196" s="179">
        <f>IF(C196&gt;$C$10,0,IF(AND($C$38&gt;0,A196&gt;=$C$38,EOMONTH(A196,0)&lt;=$C$39),E196*(1-$C$40)*(1-G$34),E196*(1-G$34)))+M196</f>
        <v>0</v>
      </c>
      <c r="Y196" s="178">
        <f>IF(C196&gt;$C$10,0,IF(AND($C$38&gt;0,A196&gt;=$C$38,EOMONTH(A196,0)&lt;=$C$39),E196*(1-$C$40)*(1-H$34),E196*(1-H$34)))+M196</f>
        <v>0</v>
      </c>
      <c r="Z196" s="179">
        <f>IF(C196&gt;$C$10,0,IF(AND($C$38&gt;0,A196&gt;=$C$38,EOMONTH(A196,0)&lt;=$C$39),E196*(1-$C$40)*(1-I$34),E196*(1-I$34)))+M196</f>
        <v>0</v>
      </c>
      <c r="AA196" s="180">
        <f>IF(C196&gt;$C$10,0,IF(AND($C$38&gt;0,A196&gt;=$C$38,EOMONTH(A196,0)&lt;=$C$39),E196*(1-$C$40)*(1-J$34),E196*(1-J$34)))+M196</f>
        <v>0</v>
      </c>
    </row>
    <row r="197" spans="1:27" x14ac:dyDescent="0.25">
      <c r="A197" s="98">
        <f>EDATE($C$8,122)</f>
        <v>47066</v>
      </c>
      <c r="B197" s="99">
        <f>EDATE($C$8,123)-1</f>
        <v>47095</v>
      </c>
      <c r="C197" s="92">
        <f t="shared" si="31"/>
        <v>123</v>
      </c>
      <c r="D197" s="100">
        <f t="shared" si="34"/>
        <v>11</v>
      </c>
      <c r="E197" s="101">
        <f t="shared" si="35"/>
        <v>0</v>
      </c>
      <c r="F197" s="94">
        <f t="shared" si="32"/>
        <v>0</v>
      </c>
      <c r="G197" s="95">
        <f t="shared" si="33"/>
        <v>0</v>
      </c>
      <c r="H197" s="94">
        <f t="shared" si="36"/>
        <v>0</v>
      </c>
      <c r="I197" s="94">
        <f t="shared" si="37"/>
        <v>0</v>
      </c>
      <c r="J197" s="94">
        <f t="shared" si="38"/>
        <v>0</v>
      </c>
      <c r="K197" s="94">
        <f t="shared" si="39"/>
        <v>0</v>
      </c>
      <c r="L197" s="94">
        <f t="shared" si="40"/>
        <v>0</v>
      </c>
      <c r="M197" s="94">
        <f t="shared" si="28"/>
        <v>0</v>
      </c>
      <c r="N197" s="101">
        <f t="shared" si="41"/>
        <v>0</v>
      </c>
      <c r="O197" s="102">
        <f t="shared" si="30"/>
        <v>0</v>
      </c>
      <c r="P197" s="101">
        <f>MAX(SUM(N197:N198)+S197,0)</f>
        <v>0</v>
      </c>
      <c r="Q197" s="101">
        <f>SUM(F197:F198)</f>
        <v>0</v>
      </c>
      <c r="R197" s="101">
        <f>SUM(M197:M198)</f>
        <v>0</v>
      </c>
      <c r="S197" s="103">
        <f>SUMPRODUCT(($C$55:$C$67)*($D$55:$D$67&gt;=$A197))</f>
        <v>0</v>
      </c>
      <c r="T197" s="150">
        <f>IF(C197&gt;$C$10,0,IF(AND($C$38&gt;0,A197&gt;=$C$38,EOMONTH(A197,0)&lt;=$C$39),E197*(1-$C$40)*(1-G$15),E197*(1-G$15)))+M197</f>
        <v>0</v>
      </c>
      <c r="U197" s="150">
        <f>IF(C197&gt;$C$10,0,IF(AND($C$38&gt;0,A197&gt;=$C$38,EOMONTH(A197,0)&lt;=$C$39),E197*(1-$C$40)*(1-H$15),E197*(1-H$15)))+M197</f>
        <v>0</v>
      </c>
      <c r="V197" s="150">
        <f>IF(C197&gt;$C$10,0,IF(AND($C$38&gt;0,A197&gt;=$C$38,EOMONTH(A197,0)&lt;=$C$39),E197*(1-$C$40)*(1-I$15),E197*(1-I$15)))+M197</f>
        <v>0</v>
      </c>
      <c r="W197" s="181">
        <f>IF(C197&gt;$C$10,0,IF(AND($C$38&gt;0,A197&gt;=$C$38,EOMONTH(A197,0)&lt;=$C$39),E197*(1-$C$40)*(1-F$34),E197*(1-F$34)))+M197</f>
        <v>0</v>
      </c>
      <c r="X197" s="179">
        <f>IF(C197&gt;$C$10,0,IF(AND($C$38&gt;0,A197&gt;=$C$38,EOMONTH(A197,0)&lt;=$C$39),E197*(1-$C$40)*(1-G$34),E197*(1-G$34)))+M197</f>
        <v>0</v>
      </c>
      <c r="Y197" s="178">
        <f>IF(C197&gt;$C$10,0,IF(AND($C$38&gt;0,A197&gt;=$C$38,EOMONTH(A197,0)&lt;=$C$39),E197*(1-$C$40)*(1-H$34),E197*(1-H$34)))+M197</f>
        <v>0</v>
      </c>
      <c r="Z197" s="179">
        <f>IF(C197&gt;$C$10,0,IF(AND($C$38&gt;0,A197&gt;=$C$38,EOMONTH(A197,0)&lt;=$C$39),E197*(1-$C$40)*(1-I$34),E197*(1-I$34)))+M197</f>
        <v>0</v>
      </c>
      <c r="AA197" s="180">
        <f>IF(C197&gt;$C$10,0,IF(AND($C$38&gt;0,A197&gt;=$C$38,EOMONTH(A197,0)&lt;=$C$39),E197*(1-$C$40)*(1-J$34),E197*(1-J$34)))+M197</f>
        <v>0</v>
      </c>
    </row>
    <row r="198" spans="1:27" ht="16.5" thickBot="1" x14ac:dyDescent="0.3">
      <c r="A198" s="104">
        <f>EDATE($C$8,123)</f>
        <v>47096</v>
      </c>
      <c r="B198" s="105">
        <f>$C$11</f>
        <v>47005</v>
      </c>
      <c r="C198" s="92">
        <f t="shared" si="31"/>
        <v>124</v>
      </c>
      <c r="D198" s="106">
        <f t="shared" si="34"/>
        <v>11</v>
      </c>
      <c r="E198" s="107">
        <f t="shared" si="35"/>
        <v>0</v>
      </c>
      <c r="F198" s="94">
        <f t="shared" si="32"/>
        <v>0</v>
      </c>
      <c r="G198" s="95">
        <f t="shared" si="33"/>
        <v>0</v>
      </c>
      <c r="H198" s="94">
        <f t="shared" si="36"/>
        <v>0</v>
      </c>
      <c r="I198" s="94">
        <f t="shared" si="37"/>
        <v>0</v>
      </c>
      <c r="J198" s="94">
        <f t="shared" si="38"/>
        <v>0</v>
      </c>
      <c r="K198" s="94">
        <f t="shared" si="39"/>
        <v>0</v>
      </c>
      <c r="L198" s="94">
        <f t="shared" si="40"/>
        <v>0</v>
      </c>
      <c r="M198" s="94">
        <f t="shared" si="28"/>
        <v>0</v>
      </c>
      <c r="N198" s="107">
        <f t="shared" si="41"/>
        <v>0</v>
      </c>
      <c r="O198" s="108">
        <f t="shared" si="30"/>
        <v>0</v>
      </c>
      <c r="P198" s="107">
        <f>MAX(SUM(N198:N198)+S198,0)</f>
        <v>0</v>
      </c>
      <c r="Q198" s="107">
        <f>SUM(F198:F198)</f>
        <v>0</v>
      </c>
      <c r="R198" s="107">
        <f>SUM(M198:M198)</f>
        <v>0</v>
      </c>
      <c r="S198" s="109">
        <f>SUMPRODUCT(($C$55:$C$67)*($D$55:$D$67&gt;=$A198))</f>
        <v>0</v>
      </c>
      <c r="T198" s="150">
        <f>IF(C198&gt;$C$10,0,IF(AND($C$38&gt;0,A198&gt;=$C$38,EOMONTH(A198,0)&lt;=$C$39),E198*(1-$C$40)*(1-G$15),E198*(1-G$15)))+M198</f>
        <v>0</v>
      </c>
      <c r="U198" s="150">
        <f>IF(C198&gt;$C$10,0,IF(AND($C$38&gt;0,A198&gt;=$C$38,EOMONTH(A198,0)&lt;=$C$39),E198*(1-$C$40)*(1-H$15),E198*(1-H$15)))+M198</f>
        <v>0</v>
      </c>
      <c r="V198" s="150">
        <f>IF(C198&gt;$C$10,0,IF(AND($C$38&gt;0,A198&gt;=$C$38,EOMONTH(A198,0)&lt;=$C$39),E198*(1-$C$40)*(1-I$15),E198*(1-I$15)))+M198</f>
        <v>0</v>
      </c>
      <c r="W198" s="181">
        <f>IF(C198&gt;$C$10,0,IF(AND($C$38&gt;0,A198&gt;=$C$38,EOMONTH(A198,0)&lt;=$C$39),E198*(1-$C$40)*(1-F$34),E198*(1-F$34)))+M198</f>
        <v>0</v>
      </c>
      <c r="X198" s="179">
        <f>IF(C198&gt;$C$10,0,IF(AND($C$38&gt;0,A198&gt;=$C$38,EOMONTH(A198,0)&lt;=$C$39),E198*(1-$C$40)*(1-G$34),E198*(1-G$34)))+M198</f>
        <v>0</v>
      </c>
      <c r="Y198" s="178">
        <f>IF(C198&gt;$C$10,0,IF(AND($C$38&gt;0,A198&gt;=$C$38,EOMONTH(A198,0)&lt;=$C$39),E198*(1-$C$40)*(1-H$34),E198*(1-H$34)))+M198</f>
        <v>0</v>
      </c>
      <c r="Z198" s="179">
        <f>IF(C198&gt;$C$10,0,IF(AND($C$38&gt;0,A198&gt;=$C$38,EOMONTH(A198,0)&lt;=$C$39),E198*(1-$C$40)*(1-I$34),E198*(1-I$34)))+M198</f>
        <v>0</v>
      </c>
      <c r="AA198" s="180">
        <f>IF(C198&gt;$C$10,0,IF(AND($C$38&gt;0,A198&gt;=$C$38,EOMONTH(A198,0)&lt;=$C$39),E198*(1-$C$40)*(1-J$34),E198*(1-J$34)))+M198</f>
        <v>0</v>
      </c>
    </row>
    <row r="199" spans="1:27" ht="16.5" thickTop="1" x14ac:dyDescent="0.25">
      <c r="A199" s="110" t="s">
        <v>28</v>
      </c>
      <c r="B199" s="111" t="s">
        <v>11</v>
      </c>
      <c r="C199" s="111" t="s">
        <v>11</v>
      </c>
      <c r="D199" s="111" t="s">
        <v>11</v>
      </c>
      <c r="E199" s="112">
        <f>SUM(E75:E198)</f>
        <v>1389104.6811699292</v>
      </c>
      <c r="F199" s="112">
        <f>SUM(F75:F198)</f>
        <v>1351283.0811699287</v>
      </c>
      <c r="G199" s="112">
        <f>SUM(G75:G198)</f>
        <v>-37821.599999999999</v>
      </c>
      <c r="H199" s="112">
        <f t="shared" ref="H199:N199" si="42">SUM(H75:H198)</f>
        <v>520914.25543872331</v>
      </c>
      <c r="I199" s="112">
        <f t="shared" si="42"/>
        <v>260457.12771936166</v>
      </c>
      <c r="J199" s="112">
        <f t="shared" si="42"/>
        <v>434095.21286560292</v>
      </c>
      <c r="K199" s="112">
        <f t="shared" si="42"/>
        <v>82884.779010530678</v>
      </c>
      <c r="L199" s="112">
        <f t="shared" si="42"/>
        <v>41442.389505265339</v>
      </c>
      <c r="M199" s="112">
        <f t="shared" si="42"/>
        <v>1339793.7645394844</v>
      </c>
      <c r="N199" s="112">
        <f t="shared" si="42"/>
        <v>2691076.8457094128</v>
      </c>
      <c r="O199" s="111" t="s">
        <v>11</v>
      </c>
      <c r="P199" s="111" t="s">
        <v>11</v>
      </c>
      <c r="Q199" s="111" t="s">
        <v>11</v>
      </c>
      <c r="R199" s="111" t="s">
        <v>11</v>
      </c>
      <c r="S199" s="113" t="s">
        <v>11</v>
      </c>
      <c r="T199" s="151">
        <f t="shared" ref="T199:AA199" si="43">SUM(T75:T198)</f>
        <v>2555948.5375924227</v>
      </c>
      <c r="U199" s="151">
        <f t="shared" si="43"/>
        <v>2420820.2294754251</v>
      </c>
      <c r="V199" s="151">
        <f t="shared" si="43"/>
        <v>2285691.921358434</v>
      </c>
      <c r="W199" s="182">
        <f t="shared" si="43"/>
        <v>2691076.8457094128</v>
      </c>
      <c r="X199" s="183">
        <f t="shared" si="43"/>
        <v>2420820.2294754251</v>
      </c>
      <c r="Y199" s="183">
        <f t="shared" si="43"/>
        <v>2285691.921358434</v>
      </c>
      <c r="Z199" s="183">
        <f t="shared" si="43"/>
        <v>2150563.6132414415</v>
      </c>
      <c r="AA199" s="183">
        <f t="shared" si="43"/>
        <v>2015435.3051244507</v>
      </c>
    </row>
  </sheetData>
  <mergeCells count="2">
    <mergeCell ref="B2:F2"/>
    <mergeCell ref="T73:AA73"/>
  </mergeCells>
  <dataValidations count="1">
    <dataValidation type="list" errorStyle="warning" allowBlank="1" showInputMessage="1" showErrorMessage="1" errorTitle="Date Not in Schedule" error="Consider selecting a date that matches a lease period start date." promptTitle="Effective Date of Analysis" prompt="Select a lease period start date. This drives all scenario and remaining-obligation calculations." sqref="C12" xr:uid="{C7E5CCA2-B4FF-45A6-BB88-3AC58FFE0179}">
      <formula1>$A$75:$A$198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5" x14ac:dyDescent="0.25"/>
  <cols>
    <col min="1" max="2" width="13.85546875" customWidth="1"/>
    <col min="3" max="3" width="16.85546875" customWidth="1"/>
    <col min="4" max="4" width="9.85546875" customWidth="1"/>
    <col min="5" max="5" width="22.85546875" customWidth="1"/>
    <col min="6" max="6" width="16.85546875" customWidth="1"/>
    <col min="7" max="7" width="26.85546875" customWidth="1"/>
    <col min="8" max="8" width="16.85546875" customWidth="1"/>
  </cols>
  <sheetData>
    <row r="1" spans="1:8" ht="39.950000000000003" customHeight="1" x14ac:dyDescent="0.25">
      <c r="A1" s="7" t="s">
        <v>32</v>
      </c>
      <c r="B1" s="7" t="s">
        <v>33</v>
      </c>
      <c r="C1" s="7" t="s">
        <v>50</v>
      </c>
      <c r="D1" s="7" t="s">
        <v>51</v>
      </c>
      <c r="E1" s="7" t="s">
        <v>52</v>
      </c>
      <c r="F1" s="7" t="s">
        <v>53</v>
      </c>
      <c r="G1" s="7" t="s">
        <v>54</v>
      </c>
      <c r="H1" s="7" t="s">
        <v>55</v>
      </c>
    </row>
    <row r="2" spans="1:8" x14ac:dyDescent="0.25">
      <c r="A2" s="1">
        <v>43160</v>
      </c>
      <c r="B2" s="1">
        <v>43524</v>
      </c>
      <c r="C2" s="2">
        <v>1</v>
      </c>
      <c r="D2" s="8">
        <f>COUNTIF('Lease Schedule (populated)'!$D$75:$D$198,1)</f>
        <v>12</v>
      </c>
      <c r="E2" s="9">
        <f>SUMIF('Lease Schedule (populated)'!$D$75:$D$198,1,'Lease Schedule (populated)'!$F$75:$F$198)</f>
        <v>120000</v>
      </c>
      <c r="F2" s="9">
        <f>SUMIF('Lease Schedule (populated)'!$D$75:$D$198,1,'Lease Schedule (populated)'!$M$75:$M$198)</f>
        <v>116250</v>
      </c>
      <c r="G2" s="9">
        <f>SUMIF('Lease Schedule (populated)'!$D$75:$D$198,1,'Lease Schedule (populated)'!$N$75:$N$198)</f>
        <v>236250</v>
      </c>
      <c r="H2" s="10">
        <f>IF(G13=0,0,G2/G13)</f>
        <v>8.7790135155995722E-2</v>
      </c>
    </row>
    <row r="3" spans="1:8" x14ac:dyDescent="0.25">
      <c r="A3" s="3">
        <v>43525</v>
      </c>
      <c r="B3" s="3">
        <v>43890</v>
      </c>
      <c r="C3" s="4">
        <v>2</v>
      </c>
      <c r="D3" s="11">
        <f>COUNTIF('Lease Schedule (populated)'!$D$75:$D$198,2)</f>
        <v>12</v>
      </c>
      <c r="E3" s="12">
        <f>SUMIF('Lease Schedule (populated)'!$D$75:$D$198,2,'Lease Schedule (populated)'!$F$75:$F$198)</f>
        <v>111240</v>
      </c>
      <c r="F3" s="12">
        <f>SUMIF('Lease Schedule (populated)'!$D$75:$D$198,2,'Lease Schedule (populated)'!$M$75:$M$198)</f>
        <v>119625</v>
      </c>
      <c r="G3" s="12">
        <f>SUMIF('Lease Schedule (populated)'!$D$75:$D$198,2,'Lease Schedule (populated)'!$N$75:$N$198)</f>
        <v>230865</v>
      </c>
      <c r="H3" s="13">
        <f>IF(G13=0,0,G3/G13)</f>
        <v>8.5789077472122555E-2</v>
      </c>
    </row>
    <row r="4" spans="1:8" x14ac:dyDescent="0.25">
      <c r="A4" s="1">
        <v>43891</v>
      </c>
      <c r="B4" s="1">
        <v>44255</v>
      </c>
      <c r="C4" s="2">
        <v>3</v>
      </c>
      <c r="D4" s="8">
        <f>COUNTIF('Lease Schedule (populated)'!$D$75:$D$198,3)</f>
        <v>12</v>
      </c>
      <c r="E4" s="9">
        <f>SUMIF('Lease Schedule (populated)'!$D$75:$D$198,3,'Lease Schedule (populated)'!$F$75:$F$198)</f>
        <v>101846.40000000001</v>
      </c>
      <c r="F4" s="9">
        <f>SUMIF('Lease Schedule (populated)'!$D$75:$D$198,3,'Lease Schedule (populated)'!$M$75:$M$198)</f>
        <v>123099</v>
      </c>
      <c r="G4" s="9">
        <f>SUMIF('Lease Schedule (populated)'!$D$75:$D$198,3,'Lease Schedule (populated)'!$N$75:$N$198)</f>
        <v>224945.4</v>
      </c>
      <c r="H4" s="10">
        <f>IF(G13=0,0,G4/G13)</f>
        <v>8.3589363253839241E-2</v>
      </c>
    </row>
    <row r="5" spans="1:8" x14ac:dyDescent="0.25">
      <c r="A5" s="3">
        <v>44256</v>
      </c>
      <c r="B5" s="3">
        <v>44620</v>
      </c>
      <c r="C5" s="4">
        <v>4</v>
      </c>
      <c r="D5" s="11">
        <f>COUNTIF('Lease Schedule (populated)'!$D$75:$D$198,4)</f>
        <v>12</v>
      </c>
      <c r="E5" s="12">
        <f>SUMIF('Lease Schedule (populated)'!$D$75:$D$198,4,'Lease Schedule (populated)'!$F$75:$F$198)</f>
        <v>131127.24000000002</v>
      </c>
      <c r="F5" s="12">
        <f>SUMIF('Lease Schedule (populated)'!$D$75:$D$198,4,'Lease Schedule (populated)'!$M$75:$M$198)</f>
        <v>126674.92499999997</v>
      </c>
      <c r="G5" s="12">
        <f>SUMIF('Lease Schedule (populated)'!$D$75:$D$198,4,'Lease Schedule (populated)'!$N$75:$N$198)</f>
        <v>257802.16499999992</v>
      </c>
      <c r="H5" s="13">
        <f>IF(G13=0,0,G5/G13)</f>
        <v>9.5798886386701809E-2</v>
      </c>
    </row>
    <row r="6" spans="1:8" x14ac:dyDescent="0.25">
      <c r="A6" s="1">
        <v>44621</v>
      </c>
      <c r="B6" s="1">
        <v>44985</v>
      </c>
      <c r="C6" s="2">
        <v>5</v>
      </c>
      <c r="D6" s="8">
        <f>COUNTIF('Lease Schedule (populated)'!$D$75:$D$198,5)</f>
        <v>12</v>
      </c>
      <c r="E6" s="9">
        <f>SUMIF('Lease Schedule (populated)'!$D$75:$D$198,5,'Lease Schedule (populated)'!$F$75:$F$198)</f>
        <v>135061.05719999995</v>
      </c>
      <c r="F6" s="9">
        <f>SUMIF('Lease Schedule (populated)'!$D$75:$D$198,5,'Lease Schedule (populated)'!$M$75:$M$198)</f>
        <v>130355.78684999996</v>
      </c>
      <c r="G6" s="9">
        <f>SUMIF('Lease Schedule (populated)'!$D$75:$D$198,5,'Lease Schedule (populated)'!$N$75:$N$198)</f>
        <v>265416.8440499999</v>
      </c>
      <c r="H6" s="10">
        <f>IF(G13=0,0,G6/G13)</f>
        <v>9.8628489362232091E-2</v>
      </c>
    </row>
    <row r="7" spans="1:8" x14ac:dyDescent="0.25">
      <c r="A7" s="3">
        <v>44986</v>
      </c>
      <c r="B7" s="3">
        <v>45351</v>
      </c>
      <c r="C7" s="4">
        <v>6</v>
      </c>
      <c r="D7" s="11">
        <f>COUNTIF('Lease Schedule (populated)'!$D$75:$D$198,6)</f>
        <v>12</v>
      </c>
      <c r="E7" s="12">
        <f>SUMIF('Lease Schedule (populated)'!$D$75:$D$198,6,'Lease Schedule (populated)'!$F$75:$F$198)</f>
        <v>139112.888916</v>
      </c>
      <c r="F7" s="12">
        <f>SUMIF('Lease Schedule (populated)'!$D$75:$D$198,6,'Lease Schedule (populated)'!$M$75:$M$198)</f>
        <v>134144.68683750002</v>
      </c>
      <c r="G7" s="12">
        <f>SUMIF('Lease Schedule (populated)'!$D$75:$D$198,6,'Lease Schedule (populated)'!$N$75:$N$198)</f>
        <v>273257.57575350004</v>
      </c>
      <c r="H7" s="13">
        <f>IF(G13=0,0,G7/G13)</f>
        <v>0.10154209315470691</v>
      </c>
    </row>
    <row r="8" spans="1:8" x14ac:dyDescent="0.25">
      <c r="A8" s="1">
        <v>45352</v>
      </c>
      <c r="B8" s="1">
        <v>45716</v>
      </c>
      <c r="C8" s="2">
        <v>7</v>
      </c>
      <c r="D8" s="8">
        <f>COUNTIF('Lease Schedule (populated)'!$D$75:$D$198,7)</f>
        <v>12</v>
      </c>
      <c r="E8" s="9">
        <f>SUMIF('Lease Schedule (populated)'!$D$75:$D$198,7,'Lease Schedule (populated)'!$F$75:$F$198)</f>
        <v>143286.27558347999</v>
      </c>
      <c r="F8" s="9">
        <f>SUMIF('Lease Schedule (populated)'!$D$75:$D$198,7,'Lease Schedule (populated)'!$M$75:$M$198)</f>
        <v>138044.81835226502</v>
      </c>
      <c r="G8" s="9">
        <f>SUMIF('Lease Schedule (populated)'!$D$75:$D$198,7,'Lease Schedule (populated)'!$N$75:$N$198)</f>
        <v>281331.09393574501</v>
      </c>
      <c r="H8" s="10">
        <f>IF(G13=0,0,G8/G13)</f>
        <v>0.10454220004318808</v>
      </c>
    </row>
    <row r="9" spans="1:8" x14ac:dyDescent="0.25">
      <c r="A9" s="3">
        <v>45717</v>
      </c>
      <c r="B9" s="3">
        <v>46081</v>
      </c>
      <c r="C9" s="4">
        <v>8</v>
      </c>
      <c r="D9" s="11">
        <f>COUNTIF('Lease Schedule (populated)'!$D$75:$D$198,8)</f>
        <v>12</v>
      </c>
      <c r="E9" s="12">
        <f>SUMIF('Lease Schedule (populated)'!$D$75:$D$198,8,'Lease Schedule (populated)'!$F$75:$F$198)</f>
        <v>147584.86385098443</v>
      </c>
      <c r="F9" s="12">
        <f>SUMIF('Lease Schedule (populated)'!$D$75:$D$198,8,'Lease Schedule (populated)'!$M$75:$M$198)</f>
        <v>142059.46963066576</v>
      </c>
      <c r="G9" s="12">
        <f>SUMIF('Lease Schedule (populated)'!$D$75:$D$198,8,'Lease Schedule (populated)'!$N$75:$N$198)</f>
        <v>289644.33348165016</v>
      </c>
      <c r="H9" s="13">
        <f>IF(G13=0,0,G9/G13)</f>
        <v>0.10763138702020049</v>
      </c>
    </row>
    <row r="10" spans="1:8" x14ac:dyDescent="0.25">
      <c r="A10" s="1">
        <v>46082</v>
      </c>
      <c r="B10" s="1">
        <v>46446</v>
      </c>
      <c r="C10" s="2">
        <v>9</v>
      </c>
      <c r="D10" s="8">
        <f>COUNTIF('Lease Schedule (populated)'!$D$75:$D$198,9)</f>
        <v>12</v>
      </c>
      <c r="E10" s="9">
        <f>SUMIF('Lease Schedule (populated)'!$D$75:$D$198,9,'Lease Schedule (populated)'!$F$75:$F$198)</f>
        <v>152012.40976651391</v>
      </c>
      <c r="F10" s="9">
        <f>SUMIF('Lease Schedule (populated)'!$D$75:$D$198,9,'Lease Schedule (populated)'!$M$75:$M$198)</f>
        <v>146192.02658197517</v>
      </c>
      <c r="G10" s="9">
        <f>SUMIF('Lease Schedule (populated)'!$D$75:$D$198,9,'Lease Schedule (populated)'!$N$75:$N$198)</f>
        <v>298204.43634848908</v>
      </c>
      <c r="H10" s="10">
        <f>IF(G13=0,0,G10/G13)</f>
        <v>0.11081230802603759</v>
      </c>
    </row>
    <row r="11" spans="1:8" x14ac:dyDescent="0.25">
      <c r="A11" s="3">
        <v>46447</v>
      </c>
      <c r="B11" s="3">
        <v>46812</v>
      </c>
      <c r="C11" s="4">
        <v>10</v>
      </c>
      <c r="D11" s="11">
        <f>COUNTIF('Lease Schedule (populated)'!$D$75:$D$198,10)</f>
        <v>12</v>
      </c>
      <c r="E11" s="12">
        <f>SUMIF('Lease Schedule (populated)'!$D$75:$D$198,10,'Lease Schedule (populated)'!$F$75:$F$198)</f>
        <v>156572.78205950934</v>
      </c>
      <c r="F11" s="12">
        <f>SUMIF('Lease Schedule (populated)'!$D$75:$D$198,10,'Lease Schedule (populated)'!$M$75:$M$198)</f>
        <v>150445.97569907169</v>
      </c>
      <c r="G11" s="12">
        <f>SUMIF('Lease Schedule (populated)'!$D$75:$D$198,10,'Lease Schedule (populated)'!$N$75:$N$198)</f>
        <v>307018.75775858102</v>
      </c>
      <c r="H11" s="13">
        <f>IF(G13=0,0,G11/G13)</f>
        <v>0.11408769624995445</v>
      </c>
    </row>
    <row r="12" spans="1:8" x14ac:dyDescent="0.25">
      <c r="A12" s="1">
        <v>46813</v>
      </c>
      <c r="B12" s="1">
        <v>46934</v>
      </c>
      <c r="C12" s="14" t="s">
        <v>56</v>
      </c>
      <c r="D12" s="8">
        <f>COUNTIF('Lease Schedule (populated)'!$D$75:$D$198,11)</f>
        <v>4</v>
      </c>
      <c r="E12" s="9">
        <f>SUMIF('Lease Schedule (populated)'!$D$75:$D$198,11,'Lease Schedule (populated)'!$F$75:$F$198)</f>
        <v>13439.163793441217</v>
      </c>
      <c r="F12" s="9">
        <f>SUMIF('Lease Schedule (populated)'!$D$75:$D$198,11,'Lease Schedule (populated)'!$M$75:$M$198)</f>
        <v>12902.075588006152</v>
      </c>
      <c r="G12" s="9">
        <f>SUMIF('Lease Schedule (populated)'!$D$75:$D$198,11,'Lease Schedule (populated)'!$N$75:$N$198)</f>
        <v>26341.239381447369</v>
      </c>
      <c r="H12" s="10">
        <f>IF(G13=0,0,G12/G13)</f>
        <v>9.7883638750209598E-3</v>
      </c>
    </row>
    <row r="13" spans="1:8" x14ac:dyDescent="0.25">
      <c r="A13" s="15" t="s">
        <v>57</v>
      </c>
      <c r="B13" s="5" t="s">
        <v>11</v>
      </c>
      <c r="C13" s="5" t="s">
        <v>11</v>
      </c>
      <c r="D13" s="16">
        <f>SUM(D2:D12)</f>
        <v>124</v>
      </c>
      <c r="E13" s="6">
        <f>SUM(E2:E12)</f>
        <v>1351283.0811699287</v>
      </c>
      <c r="F13" s="6">
        <f>SUM(F2:F12)</f>
        <v>1339793.7645394839</v>
      </c>
      <c r="G13" s="6">
        <f>SUM(G2:G12)</f>
        <v>2691076.8457094128</v>
      </c>
      <c r="H13" s="5">
        <f>SUM(H2:H12)</f>
        <v>0.99999999999999967</v>
      </c>
    </row>
  </sheetData>
  <pageMargins left="0.7" right="0.7" top="0.75" bottom="0.75" header="0.3" footer="0.3"/>
  <ignoredErrors>
    <ignoredError sqref="A1:H1 A13:G13 A2:C2 H2 A3:C3 H3 A4:C4 H4 A5:C5 H5 A6:C6 H6 A7:C7 H7 A8:C8 H8 A9:C9 H9 A10:C10 H10 A11:C11 H11 A12:C12 H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5"/>
  <sheetViews>
    <sheetView workbookViewId="0"/>
  </sheetViews>
  <sheetFormatPr defaultRowHeight="15" x14ac:dyDescent="0.25"/>
  <cols>
    <col min="1" max="1" width="13.85546875" customWidth="1"/>
    <col min="2" max="2" width="9.85546875" customWidth="1"/>
    <col min="3" max="3" width="14.85546875" customWidth="1"/>
    <col min="4" max="4" width="16.85546875" customWidth="1"/>
    <col min="5" max="5" width="20.85546875" customWidth="1"/>
    <col min="6" max="6" width="13.85546875" customWidth="1"/>
    <col min="7" max="7" width="11.85546875" customWidth="1"/>
    <col min="8" max="8" width="13.85546875" customWidth="1"/>
    <col min="9" max="9" width="11.85546875" customWidth="1"/>
    <col min="10" max="10" width="13.85546875" customWidth="1"/>
    <col min="11" max="11" width="11.85546875" customWidth="1"/>
    <col min="12" max="12" width="13.85546875" customWidth="1"/>
    <col min="13" max="13" width="11.85546875" customWidth="1"/>
    <col min="14" max="14" width="14.85546875" customWidth="1"/>
    <col min="15" max="15" width="11.85546875" customWidth="1"/>
  </cols>
  <sheetData>
    <row r="1" spans="1:15" ht="39.950000000000003" customHeight="1" x14ac:dyDescent="0.25">
      <c r="A1" s="17" t="s">
        <v>32</v>
      </c>
      <c r="B1" s="17" t="s">
        <v>34</v>
      </c>
      <c r="C1" s="17" t="s">
        <v>58</v>
      </c>
      <c r="D1" s="17" t="s">
        <v>59</v>
      </c>
      <c r="E1" s="17" t="s">
        <v>60</v>
      </c>
      <c r="F1" s="17" t="s">
        <v>61</v>
      </c>
      <c r="G1" s="17" t="s">
        <v>62</v>
      </c>
      <c r="H1" s="17" t="s">
        <v>63</v>
      </c>
      <c r="I1" s="17" t="s">
        <v>64</v>
      </c>
      <c r="J1" s="17" t="s">
        <v>65</v>
      </c>
      <c r="K1" s="17" t="s">
        <v>66</v>
      </c>
      <c r="L1" s="17" t="s">
        <v>67</v>
      </c>
      <c r="M1" s="17" t="s">
        <v>68</v>
      </c>
      <c r="N1" s="17" t="s">
        <v>69</v>
      </c>
      <c r="O1" s="17" t="s">
        <v>70</v>
      </c>
    </row>
    <row r="2" spans="1:15" x14ac:dyDescent="0.25">
      <c r="A2" s="1">
        <v>43160</v>
      </c>
      <c r="B2" s="18">
        <v>1</v>
      </c>
      <c r="C2" s="19">
        <v>1</v>
      </c>
      <c r="D2" s="19">
        <v>0</v>
      </c>
      <c r="E2" s="20" t="s">
        <v>71</v>
      </c>
      <c r="F2" s="18">
        <v>0</v>
      </c>
      <c r="G2" s="20" t="s">
        <v>72</v>
      </c>
      <c r="H2" s="18">
        <v>0</v>
      </c>
      <c r="I2" s="20" t="s">
        <v>72</v>
      </c>
      <c r="J2" s="18">
        <v>0</v>
      </c>
      <c r="K2" s="20" t="s">
        <v>72</v>
      </c>
      <c r="L2" s="18">
        <v>0</v>
      </c>
      <c r="M2" s="20" t="s">
        <v>72</v>
      </c>
      <c r="N2" s="18">
        <v>0</v>
      </c>
      <c r="O2" s="20" t="s">
        <v>72</v>
      </c>
    </row>
    <row r="3" spans="1:15" x14ac:dyDescent="0.25">
      <c r="A3" s="3">
        <v>43191</v>
      </c>
      <c r="B3" s="21">
        <v>2</v>
      </c>
      <c r="C3" s="22">
        <v>1</v>
      </c>
      <c r="D3" s="22">
        <v>0</v>
      </c>
      <c r="E3" s="23" t="s">
        <v>71</v>
      </c>
      <c r="F3" s="21">
        <v>0</v>
      </c>
      <c r="G3" s="23" t="s">
        <v>72</v>
      </c>
      <c r="H3" s="21">
        <v>0</v>
      </c>
      <c r="I3" s="23" t="s">
        <v>72</v>
      </c>
      <c r="J3" s="21">
        <v>0</v>
      </c>
      <c r="K3" s="23" t="s">
        <v>72</v>
      </c>
      <c r="L3" s="21">
        <v>0</v>
      </c>
      <c r="M3" s="23" t="s">
        <v>72</v>
      </c>
      <c r="N3" s="21">
        <v>0</v>
      </c>
      <c r="O3" s="23" t="s">
        <v>72</v>
      </c>
    </row>
    <row r="4" spans="1:15" x14ac:dyDescent="0.25">
      <c r="A4" s="1">
        <v>43221</v>
      </c>
      <c r="B4" s="18">
        <v>3</v>
      </c>
      <c r="C4" s="19">
        <v>1</v>
      </c>
      <c r="D4" s="19">
        <v>0</v>
      </c>
      <c r="E4" s="20" t="s">
        <v>71</v>
      </c>
      <c r="F4" s="18">
        <v>0</v>
      </c>
      <c r="G4" s="20" t="s">
        <v>72</v>
      </c>
      <c r="H4" s="18">
        <v>0</v>
      </c>
      <c r="I4" s="20" t="s">
        <v>72</v>
      </c>
      <c r="J4" s="18">
        <v>0</v>
      </c>
      <c r="K4" s="20" t="s">
        <v>72</v>
      </c>
      <c r="L4" s="18">
        <v>0</v>
      </c>
      <c r="M4" s="20" t="s">
        <v>72</v>
      </c>
      <c r="N4" s="18">
        <v>0</v>
      </c>
      <c r="O4" s="20" t="s">
        <v>72</v>
      </c>
    </row>
    <row r="5" spans="1:15" x14ac:dyDescent="0.25">
      <c r="A5" s="3">
        <v>43252</v>
      </c>
      <c r="B5" s="21">
        <v>4</v>
      </c>
      <c r="C5" s="22">
        <v>1</v>
      </c>
      <c r="D5" s="22">
        <v>0</v>
      </c>
      <c r="E5" s="23" t="s">
        <v>71</v>
      </c>
      <c r="F5" s="21">
        <v>0</v>
      </c>
      <c r="G5" s="23" t="s">
        <v>72</v>
      </c>
      <c r="H5" s="21">
        <v>0</v>
      </c>
      <c r="I5" s="23" t="s">
        <v>72</v>
      </c>
      <c r="J5" s="21">
        <v>0</v>
      </c>
      <c r="K5" s="23" t="s">
        <v>72</v>
      </c>
      <c r="L5" s="21">
        <v>0</v>
      </c>
      <c r="M5" s="23" t="s">
        <v>72</v>
      </c>
      <c r="N5" s="21">
        <v>0</v>
      </c>
      <c r="O5" s="23" t="s">
        <v>72</v>
      </c>
    </row>
    <row r="6" spans="1:15" x14ac:dyDescent="0.25">
      <c r="A6" s="1">
        <v>43282</v>
      </c>
      <c r="B6" s="18">
        <v>5</v>
      </c>
      <c r="C6" s="19">
        <v>1</v>
      </c>
      <c r="D6" s="19">
        <v>1</v>
      </c>
      <c r="E6" s="20" t="s">
        <v>71</v>
      </c>
      <c r="F6" s="18">
        <v>0</v>
      </c>
      <c r="G6" s="20" t="s">
        <v>72</v>
      </c>
      <c r="H6" s="18">
        <v>0</v>
      </c>
      <c r="I6" s="20" t="s">
        <v>72</v>
      </c>
      <c r="J6" s="18">
        <v>0</v>
      </c>
      <c r="K6" s="20" t="s">
        <v>72</v>
      </c>
      <c r="L6" s="18">
        <v>0</v>
      </c>
      <c r="M6" s="20" t="s">
        <v>72</v>
      </c>
      <c r="N6" s="18">
        <v>0</v>
      </c>
      <c r="O6" s="20" t="s">
        <v>72</v>
      </c>
    </row>
    <row r="7" spans="1:15" x14ac:dyDescent="0.25">
      <c r="A7" s="3">
        <v>43313</v>
      </c>
      <c r="B7" s="21">
        <v>6</v>
      </c>
      <c r="C7" s="22">
        <v>1</v>
      </c>
      <c r="D7" s="22">
        <v>1</v>
      </c>
      <c r="E7" s="23" t="s">
        <v>71</v>
      </c>
      <c r="F7" s="21">
        <v>0</v>
      </c>
      <c r="G7" s="23" t="s">
        <v>72</v>
      </c>
      <c r="H7" s="21">
        <v>0</v>
      </c>
      <c r="I7" s="23" t="s">
        <v>72</v>
      </c>
      <c r="J7" s="21">
        <v>0</v>
      </c>
      <c r="K7" s="23" t="s">
        <v>72</v>
      </c>
      <c r="L7" s="21">
        <v>0</v>
      </c>
      <c r="M7" s="23" t="s">
        <v>72</v>
      </c>
      <c r="N7" s="21">
        <v>0</v>
      </c>
      <c r="O7" s="23" t="s">
        <v>72</v>
      </c>
    </row>
    <row r="8" spans="1:15" x14ac:dyDescent="0.25">
      <c r="A8" s="1">
        <v>43344</v>
      </c>
      <c r="B8" s="18">
        <v>7</v>
      </c>
      <c r="C8" s="19">
        <v>1</v>
      </c>
      <c r="D8" s="19">
        <v>1</v>
      </c>
      <c r="E8" s="20" t="s">
        <v>71</v>
      </c>
      <c r="F8" s="18">
        <v>0</v>
      </c>
      <c r="G8" s="20" t="s">
        <v>72</v>
      </c>
      <c r="H8" s="18">
        <v>0</v>
      </c>
      <c r="I8" s="20" t="s">
        <v>72</v>
      </c>
      <c r="J8" s="18">
        <v>0</v>
      </c>
      <c r="K8" s="20" t="s">
        <v>72</v>
      </c>
      <c r="L8" s="18">
        <v>0</v>
      </c>
      <c r="M8" s="20" t="s">
        <v>72</v>
      </c>
      <c r="N8" s="18">
        <v>0</v>
      </c>
      <c r="O8" s="20" t="s">
        <v>72</v>
      </c>
    </row>
    <row r="9" spans="1:15" x14ac:dyDescent="0.25">
      <c r="A9" s="3">
        <v>43374</v>
      </c>
      <c r="B9" s="21">
        <v>8</v>
      </c>
      <c r="C9" s="22">
        <v>1</v>
      </c>
      <c r="D9" s="22">
        <v>1</v>
      </c>
      <c r="E9" s="23" t="s">
        <v>71</v>
      </c>
      <c r="F9" s="21">
        <v>0</v>
      </c>
      <c r="G9" s="23" t="s">
        <v>72</v>
      </c>
      <c r="H9" s="21">
        <v>0</v>
      </c>
      <c r="I9" s="23" t="s">
        <v>72</v>
      </c>
      <c r="J9" s="21">
        <v>0</v>
      </c>
      <c r="K9" s="23" t="s">
        <v>72</v>
      </c>
      <c r="L9" s="21">
        <v>0</v>
      </c>
      <c r="M9" s="23" t="s">
        <v>72</v>
      </c>
      <c r="N9" s="21">
        <v>0</v>
      </c>
      <c r="O9" s="23" t="s">
        <v>72</v>
      </c>
    </row>
    <row r="10" spans="1:15" x14ac:dyDescent="0.25">
      <c r="A10" s="1">
        <v>43405</v>
      </c>
      <c r="B10" s="18">
        <v>9</v>
      </c>
      <c r="C10" s="19">
        <v>1</v>
      </c>
      <c r="D10" s="19">
        <v>1</v>
      </c>
      <c r="E10" s="20" t="s">
        <v>71</v>
      </c>
      <c r="F10" s="18">
        <v>0</v>
      </c>
      <c r="G10" s="20" t="s">
        <v>72</v>
      </c>
      <c r="H10" s="18">
        <v>0</v>
      </c>
      <c r="I10" s="20" t="s">
        <v>72</v>
      </c>
      <c r="J10" s="18">
        <v>0</v>
      </c>
      <c r="K10" s="20" t="s">
        <v>72</v>
      </c>
      <c r="L10" s="18">
        <v>0</v>
      </c>
      <c r="M10" s="20" t="s">
        <v>72</v>
      </c>
      <c r="N10" s="18">
        <v>0</v>
      </c>
      <c r="O10" s="20" t="s">
        <v>72</v>
      </c>
    </row>
    <row r="11" spans="1:15" x14ac:dyDescent="0.25">
      <c r="A11" s="3">
        <v>43435</v>
      </c>
      <c r="B11" s="21">
        <v>10</v>
      </c>
      <c r="C11" s="22">
        <v>1</v>
      </c>
      <c r="D11" s="22">
        <v>1</v>
      </c>
      <c r="E11" s="23" t="s">
        <v>71</v>
      </c>
      <c r="F11" s="21">
        <v>0</v>
      </c>
      <c r="G11" s="23" t="s">
        <v>72</v>
      </c>
      <c r="H11" s="21">
        <v>0</v>
      </c>
      <c r="I11" s="23" t="s">
        <v>72</v>
      </c>
      <c r="J11" s="21">
        <v>0</v>
      </c>
      <c r="K11" s="23" t="s">
        <v>72</v>
      </c>
      <c r="L11" s="21">
        <v>0</v>
      </c>
      <c r="M11" s="23" t="s">
        <v>72</v>
      </c>
      <c r="N11" s="21">
        <v>0</v>
      </c>
      <c r="O11" s="23" t="s">
        <v>72</v>
      </c>
    </row>
    <row r="12" spans="1:15" x14ac:dyDescent="0.25">
      <c r="A12" s="1">
        <v>43466</v>
      </c>
      <c r="B12" s="18">
        <v>11</v>
      </c>
      <c r="C12" s="19">
        <v>1</v>
      </c>
      <c r="D12" s="19">
        <v>1</v>
      </c>
      <c r="E12" s="20" t="s">
        <v>71</v>
      </c>
      <c r="F12" s="18">
        <v>0</v>
      </c>
      <c r="G12" s="20" t="s">
        <v>72</v>
      </c>
      <c r="H12" s="18">
        <v>0</v>
      </c>
      <c r="I12" s="20" t="s">
        <v>72</v>
      </c>
      <c r="J12" s="18">
        <v>0</v>
      </c>
      <c r="K12" s="20" t="s">
        <v>72</v>
      </c>
      <c r="L12" s="18">
        <v>0</v>
      </c>
      <c r="M12" s="20" t="s">
        <v>72</v>
      </c>
      <c r="N12" s="18">
        <v>0</v>
      </c>
      <c r="O12" s="20" t="s">
        <v>72</v>
      </c>
    </row>
    <row r="13" spans="1:15" x14ac:dyDescent="0.25">
      <c r="A13" s="3">
        <v>43497</v>
      </c>
      <c r="B13" s="21">
        <v>12</v>
      </c>
      <c r="C13" s="22">
        <v>1</v>
      </c>
      <c r="D13" s="22">
        <v>1</v>
      </c>
      <c r="E13" s="23" t="s">
        <v>71</v>
      </c>
      <c r="F13" s="21">
        <v>0</v>
      </c>
      <c r="G13" s="23" t="s">
        <v>72</v>
      </c>
      <c r="H13" s="21">
        <v>0</v>
      </c>
      <c r="I13" s="23" t="s">
        <v>72</v>
      </c>
      <c r="J13" s="21">
        <v>0</v>
      </c>
      <c r="K13" s="23" t="s">
        <v>72</v>
      </c>
      <c r="L13" s="21">
        <v>0</v>
      </c>
      <c r="M13" s="23" t="s">
        <v>72</v>
      </c>
      <c r="N13" s="21">
        <v>0</v>
      </c>
      <c r="O13" s="23" t="s">
        <v>72</v>
      </c>
    </row>
    <row r="14" spans="1:15" x14ac:dyDescent="0.25">
      <c r="A14" s="1">
        <v>43525</v>
      </c>
      <c r="B14" s="18">
        <v>13</v>
      </c>
      <c r="C14" s="19">
        <v>1</v>
      </c>
      <c r="D14" s="19">
        <v>1</v>
      </c>
      <c r="E14" s="20" t="s">
        <v>71</v>
      </c>
      <c r="F14" s="18">
        <v>0</v>
      </c>
      <c r="G14" s="20" t="s">
        <v>72</v>
      </c>
      <c r="H14" s="18">
        <v>0</v>
      </c>
      <c r="I14" s="20" t="s">
        <v>72</v>
      </c>
      <c r="J14" s="18">
        <v>0</v>
      </c>
      <c r="K14" s="20" t="s">
        <v>72</v>
      </c>
      <c r="L14" s="18">
        <v>0</v>
      </c>
      <c r="M14" s="20" t="s">
        <v>72</v>
      </c>
      <c r="N14" s="18">
        <v>0</v>
      </c>
      <c r="O14" s="20" t="s">
        <v>72</v>
      </c>
    </row>
    <row r="15" spans="1:15" x14ac:dyDescent="0.25">
      <c r="A15" s="3">
        <v>43556</v>
      </c>
      <c r="B15" s="21">
        <v>14</v>
      </c>
      <c r="C15" s="22">
        <v>1</v>
      </c>
      <c r="D15" s="22">
        <v>1</v>
      </c>
      <c r="E15" s="23" t="s">
        <v>71</v>
      </c>
      <c r="F15" s="21">
        <v>0</v>
      </c>
      <c r="G15" s="23" t="s">
        <v>72</v>
      </c>
      <c r="H15" s="21">
        <v>0</v>
      </c>
      <c r="I15" s="23" t="s">
        <v>72</v>
      </c>
      <c r="J15" s="21">
        <v>0</v>
      </c>
      <c r="K15" s="23" t="s">
        <v>72</v>
      </c>
      <c r="L15" s="21">
        <v>0</v>
      </c>
      <c r="M15" s="23" t="s">
        <v>72</v>
      </c>
      <c r="N15" s="21">
        <v>0</v>
      </c>
      <c r="O15" s="23" t="s">
        <v>72</v>
      </c>
    </row>
    <row r="16" spans="1:15" x14ac:dyDescent="0.25">
      <c r="A16" s="1">
        <v>43586</v>
      </c>
      <c r="B16" s="18">
        <v>15</v>
      </c>
      <c r="C16" s="19">
        <v>1</v>
      </c>
      <c r="D16" s="19">
        <v>1</v>
      </c>
      <c r="E16" s="20" t="s">
        <v>71</v>
      </c>
      <c r="F16" s="18">
        <v>0</v>
      </c>
      <c r="G16" s="20" t="s">
        <v>72</v>
      </c>
      <c r="H16" s="18">
        <v>0</v>
      </c>
      <c r="I16" s="20" t="s">
        <v>72</v>
      </c>
      <c r="J16" s="18">
        <v>0</v>
      </c>
      <c r="K16" s="20" t="s">
        <v>72</v>
      </c>
      <c r="L16" s="18">
        <v>0</v>
      </c>
      <c r="M16" s="20" t="s">
        <v>72</v>
      </c>
      <c r="N16" s="18">
        <v>0</v>
      </c>
      <c r="O16" s="20" t="s">
        <v>72</v>
      </c>
    </row>
    <row r="17" spans="1:15" x14ac:dyDescent="0.25">
      <c r="A17" s="3">
        <v>43617</v>
      </c>
      <c r="B17" s="21">
        <v>16</v>
      </c>
      <c r="C17" s="22">
        <v>1</v>
      </c>
      <c r="D17" s="22">
        <v>1</v>
      </c>
      <c r="E17" s="23" t="s">
        <v>71</v>
      </c>
      <c r="F17" s="21">
        <v>0</v>
      </c>
      <c r="G17" s="23" t="s">
        <v>72</v>
      </c>
      <c r="H17" s="21">
        <v>0</v>
      </c>
      <c r="I17" s="23" t="s">
        <v>72</v>
      </c>
      <c r="J17" s="21">
        <v>0</v>
      </c>
      <c r="K17" s="23" t="s">
        <v>72</v>
      </c>
      <c r="L17" s="21">
        <v>0</v>
      </c>
      <c r="M17" s="23" t="s">
        <v>72</v>
      </c>
      <c r="N17" s="21">
        <v>0</v>
      </c>
      <c r="O17" s="23" t="s">
        <v>72</v>
      </c>
    </row>
    <row r="18" spans="1:15" x14ac:dyDescent="0.25">
      <c r="A18" s="1">
        <v>43647</v>
      </c>
      <c r="B18" s="18">
        <v>17</v>
      </c>
      <c r="C18" s="19">
        <v>1</v>
      </c>
      <c r="D18" s="19">
        <v>1</v>
      </c>
      <c r="E18" s="20" t="s">
        <v>71</v>
      </c>
      <c r="F18" s="18">
        <v>0</v>
      </c>
      <c r="G18" s="20" t="s">
        <v>72</v>
      </c>
      <c r="H18" s="18">
        <v>0</v>
      </c>
      <c r="I18" s="20" t="s">
        <v>72</v>
      </c>
      <c r="J18" s="18">
        <v>0</v>
      </c>
      <c r="K18" s="20" t="s">
        <v>72</v>
      </c>
      <c r="L18" s="18">
        <v>0</v>
      </c>
      <c r="M18" s="20" t="s">
        <v>72</v>
      </c>
      <c r="N18" s="18">
        <v>0</v>
      </c>
      <c r="O18" s="20" t="s">
        <v>72</v>
      </c>
    </row>
    <row r="19" spans="1:15" x14ac:dyDescent="0.25">
      <c r="A19" s="3">
        <v>43678</v>
      </c>
      <c r="B19" s="21">
        <v>18</v>
      </c>
      <c r="C19" s="22">
        <v>1</v>
      </c>
      <c r="D19" s="22">
        <v>1</v>
      </c>
      <c r="E19" s="23" t="s">
        <v>71</v>
      </c>
      <c r="F19" s="21">
        <v>0</v>
      </c>
      <c r="G19" s="23" t="s">
        <v>72</v>
      </c>
      <c r="H19" s="21">
        <v>0</v>
      </c>
      <c r="I19" s="23" t="s">
        <v>72</v>
      </c>
      <c r="J19" s="21">
        <v>0</v>
      </c>
      <c r="K19" s="23" t="s">
        <v>72</v>
      </c>
      <c r="L19" s="21">
        <v>0</v>
      </c>
      <c r="M19" s="23" t="s">
        <v>72</v>
      </c>
      <c r="N19" s="21">
        <v>0</v>
      </c>
      <c r="O19" s="23" t="s">
        <v>72</v>
      </c>
    </row>
    <row r="20" spans="1:15" x14ac:dyDescent="0.25">
      <c r="A20" s="1">
        <v>43709</v>
      </c>
      <c r="B20" s="18">
        <v>19</v>
      </c>
      <c r="C20" s="19">
        <v>1</v>
      </c>
      <c r="D20" s="19">
        <v>1</v>
      </c>
      <c r="E20" s="20" t="s">
        <v>71</v>
      </c>
      <c r="F20" s="18">
        <v>0</v>
      </c>
      <c r="G20" s="20" t="s">
        <v>72</v>
      </c>
      <c r="H20" s="18">
        <v>0</v>
      </c>
      <c r="I20" s="20" t="s">
        <v>72</v>
      </c>
      <c r="J20" s="18">
        <v>0</v>
      </c>
      <c r="K20" s="20" t="s">
        <v>72</v>
      </c>
      <c r="L20" s="18">
        <v>0</v>
      </c>
      <c r="M20" s="20" t="s">
        <v>72</v>
      </c>
      <c r="N20" s="18">
        <v>0</v>
      </c>
      <c r="O20" s="20" t="s">
        <v>72</v>
      </c>
    </row>
    <row r="21" spans="1:15" x14ac:dyDescent="0.25">
      <c r="A21" s="3">
        <v>43739</v>
      </c>
      <c r="B21" s="21">
        <v>20</v>
      </c>
      <c r="C21" s="22">
        <v>1</v>
      </c>
      <c r="D21" s="22">
        <v>1</v>
      </c>
      <c r="E21" s="23" t="s">
        <v>71</v>
      </c>
      <c r="F21" s="21">
        <v>0</v>
      </c>
      <c r="G21" s="23" t="s">
        <v>72</v>
      </c>
      <c r="H21" s="21">
        <v>0</v>
      </c>
      <c r="I21" s="23" t="s">
        <v>72</v>
      </c>
      <c r="J21" s="21">
        <v>0</v>
      </c>
      <c r="K21" s="23" t="s">
        <v>72</v>
      </c>
      <c r="L21" s="21">
        <v>0</v>
      </c>
      <c r="M21" s="23" t="s">
        <v>72</v>
      </c>
      <c r="N21" s="21">
        <v>0</v>
      </c>
      <c r="O21" s="23" t="s">
        <v>72</v>
      </c>
    </row>
    <row r="22" spans="1:15" x14ac:dyDescent="0.25">
      <c r="A22" s="1">
        <v>43770</v>
      </c>
      <c r="B22" s="18">
        <v>21</v>
      </c>
      <c r="C22" s="19">
        <v>1</v>
      </c>
      <c r="D22" s="19">
        <v>1</v>
      </c>
      <c r="E22" s="20" t="s">
        <v>71</v>
      </c>
      <c r="F22" s="18">
        <v>0</v>
      </c>
      <c r="G22" s="20" t="s">
        <v>72</v>
      </c>
      <c r="H22" s="18">
        <v>0</v>
      </c>
      <c r="I22" s="20" t="s">
        <v>72</v>
      </c>
      <c r="J22" s="18">
        <v>0</v>
      </c>
      <c r="K22" s="20" t="s">
        <v>72</v>
      </c>
      <c r="L22" s="18">
        <v>0</v>
      </c>
      <c r="M22" s="20" t="s">
        <v>72</v>
      </c>
      <c r="N22" s="18">
        <v>0</v>
      </c>
      <c r="O22" s="20" t="s">
        <v>72</v>
      </c>
    </row>
    <row r="23" spans="1:15" x14ac:dyDescent="0.25">
      <c r="A23" s="3">
        <v>43800</v>
      </c>
      <c r="B23" s="21">
        <v>22</v>
      </c>
      <c r="C23" s="22">
        <v>1</v>
      </c>
      <c r="D23" s="22">
        <v>1</v>
      </c>
      <c r="E23" s="23" t="s">
        <v>71</v>
      </c>
      <c r="F23" s="21">
        <v>0</v>
      </c>
      <c r="G23" s="23" t="s">
        <v>72</v>
      </c>
      <c r="H23" s="21">
        <v>0</v>
      </c>
      <c r="I23" s="23" t="s">
        <v>72</v>
      </c>
      <c r="J23" s="21">
        <v>0</v>
      </c>
      <c r="K23" s="23" t="s">
        <v>72</v>
      </c>
      <c r="L23" s="21">
        <v>0</v>
      </c>
      <c r="M23" s="23" t="s">
        <v>72</v>
      </c>
      <c r="N23" s="21">
        <v>0</v>
      </c>
      <c r="O23" s="23" t="s">
        <v>72</v>
      </c>
    </row>
    <row r="24" spans="1:15" x14ac:dyDescent="0.25">
      <c r="A24" s="1">
        <v>43831</v>
      </c>
      <c r="B24" s="18">
        <v>23</v>
      </c>
      <c r="C24" s="19">
        <v>1</v>
      </c>
      <c r="D24" s="19">
        <v>1</v>
      </c>
      <c r="E24" s="20" t="s">
        <v>71</v>
      </c>
      <c r="F24" s="18">
        <v>0</v>
      </c>
      <c r="G24" s="20" t="s">
        <v>72</v>
      </c>
      <c r="H24" s="18">
        <v>0</v>
      </c>
      <c r="I24" s="20" t="s">
        <v>72</v>
      </c>
      <c r="J24" s="18">
        <v>0</v>
      </c>
      <c r="K24" s="20" t="s">
        <v>72</v>
      </c>
      <c r="L24" s="18">
        <v>0</v>
      </c>
      <c r="M24" s="20" t="s">
        <v>72</v>
      </c>
      <c r="N24" s="18">
        <v>0</v>
      </c>
      <c r="O24" s="20" t="s">
        <v>72</v>
      </c>
    </row>
    <row r="25" spans="1:15" x14ac:dyDescent="0.25">
      <c r="A25" s="3">
        <v>43862</v>
      </c>
      <c r="B25" s="21">
        <v>24</v>
      </c>
      <c r="C25" s="22">
        <v>1</v>
      </c>
      <c r="D25" s="22">
        <v>1</v>
      </c>
      <c r="E25" s="23" t="s">
        <v>71</v>
      </c>
      <c r="F25" s="21">
        <v>0</v>
      </c>
      <c r="G25" s="23" t="s">
        <v>72</v>
      </c>
      <c r="H25" s="21">
        <v>0</v>
      </c>
      <c r="I25" s="23" t="s">
        <v>72</v>
      </c>
      <c r="J25" s="21">
        <v>0</v>
      </c>
      <c r="K25" s="23" t="s">
        <v>72</v>
      </c>
      <c r="L25" s="21">
        <v>0</v>
      </c>
      <c r="M25" s="23" t="s">
        <v>72</v>
      </c>
      <c r="N25" s="21">
        <v>0</v>
      </c>
      <c r="O25" s="23" t="s">
        <v>72</v>
      </c>
    </row>
    <row r="26" spans="1:15" x14ac:dyDescent="0.25">
      <c r="A26" s="1">
        <v>43891</v>
      </c>
      <c r="B26" s="18">
        <v>25</v>
      </c>
      <c r="C26" s="19">
        <v>1</v>
      </c>
      <c r="D26" s="19">
        <v>1</v>
      </c>
      <c r="E26" s="20" t="s">
        <v>71</v>
      </c>
      <c r="F26" s="18">
        <v>0</v>
      </c>
      <c r="G26" s="20" t="s">
        <v>72</v>
      </c>
      <c r="H26" s="18">
        <v>0</v>
      </c>
      <c r="I26" s="20" t="s">
        <v>72</v>
      </c>
      <c r="J26" s="18">
        <v>1</v>
      </c>
      <c r="K26" s="20" t="s">
        <v>72</v>
      </c>
      <c r="L26" s="18">
        <v>0</v>
      </c>
      <c r="M26" s="20" t="s">
        <v>72</v>
      </c>
      <c r="N26" s="18">
        <v>0</v>
      </c>
      <c r="O26" s="20" t="s">
        <v>72</v>
      </c>
    </row>
    <row r="27" spans="1:15" x14ac:dyDescent="0.25">
      <c r="A27" s="3">
        <v>43922</v>
      </c>
      <c r="B27" s="21">
        <v>26</v>
      </c>
      <c r="C27" s="22">
        <v>1</v>
      </c>
      <c r="D27" s="22">
        <v>1</v>
      </c>
      <c r="E27" s="23" t="s">
        <v>71</v>
      </c>
      <c r="F27" s="21">
        <v>0</v>
      </c>
      <c r="G27" s="23" t="s">
        <v>72</v>
      </c>
      <c r="H27" s="21">
        <v>0</v>
      </c>
      <c r="I27" s="23" t="s">
        <v>72</v>
      </c>
      <c r="J27" s="21">
        <v>1</v>
      </c>
      <c r="K27" s="23" t="s">
        <v>72</v>
      </c>
      <c r="L27" s="21">
        <v>0</v>
      </c>
      <c r="M27" s="23" t="s">
        <v>72</v>
      </c>
      <c r="N27" s="21">
        <v>0</v>
      </c>
      <c r="O27" s="23" t="s">
        <v>72</v>
      </c>
    </row>
    <row r="28" spans="1:15" x14ac:dyDescent="0.25">
      <c r="A28" s="1">
        <v>43952</v>
      </c>
      <c r="B28" s="18">
        <v>27</v>
      </c>
      <c r="C28" s="19">
        <v>1</v>
      </c>
      <c r="D28" s="19">
        <v>1</v>
      </c>
      <c r="E28" s="20" t="s">
        <v>71</v>
      </c>
      <c r="F28" s="18">
        <v>0</v>
      </c>
      <c r="G28" s="20" t="s">
        <v>72</v>
      </c>
      <c r="H28" s="18">
        <v>0</v>
      </c>
      <c r="I28" s="20" t="s">
        <v>72</v>
      </c>
      <c r="J28" s="18">
        <v>1</v>
      </c>
      <c r="K28" s="20" t="s">
        <v>72</v>
      </c>
      <c r="L28" s="18">
        <v>0</v>
      </c>
      <c r="M28" s="20" t="s">
        <v>72</v>
      </c>
      <c r="N28" s="18">
        <v>0</v>
      </c>
      <c r="O28" s="20" t="s">
        <v>72</v>
      </c>
    </row>
    <row r="29" spans="1:15" x14ac:dyDescent="0.25">
      <c r="A29" s="3">
        <v>43983</v>
      </c>
      <c r="B29" s="21">
        <v>28</v>
      </c>
      <c r="C29" s="22">
        <v>1</v>
      </c>
      <c r="D29" s="22">
        <v>1</v>
      </c>
      <c r="E29" s="23" t="s">
        <v>71</v>
      </c>
      <c r="F29" s="21">
        <v>0</v>
      </c>
      <c r="G29" s="23" t="s">
        <v>72</v>
      </c>
      <c r="H29" s="21">
        <v>0</v>
      </c>
      <c r="I29" s="23" t="s">
        <v>72</v>
      </c>
      <c r="J29" s="21">
        <v>1</v>
      </c>
      <c r="K29" s="23" t="s">
        <v>72</v>
      </c>
      <c r="L29" s="21">
        <v>0</v>
      </c>
      <c r="M29" s="23" t="s">
        <v>72</v>
      </c>
      <c r="N29" s="21">
        <v>0</v>
      </c>
      <c r="O29" s="23" t="s">
        <v>72</v>
      </c>
    </row>
    <row r="30" spans="1:15" x14ac:dyDescent="0.25">
      <c r="A30" s="1">
        <v>44013</v>
      </c>
      <c r="B30" s="18">
        <v>29</v>
      </c>
      <c r="C30" s="19">
        <v>1</v>
      </c>
      <c r="D30" s="19">
        <v>1</v>
      </c>
      <c r="E30" s="20" t="s">
        <v>71</v>
      </c>
      <c r="F30" s="18">
        <v>0</v>
      </c>
      <c r="G30" s="20" t="s">
        <v>72</v>
      </c>
      <c r="H30" s="18">
        <v>0</v>
      </c>
      <c r="I30" s="20" t="s">
        <v>72</v>
      </c>
      <c r="J30" s="18">
        <v>1</v>
      </c>
      <c r="K30" s="20" t="s">
        <v>72</v>
      </c>
      <c r="L30" s="18">
        <v>0</v>
      </c>
      <c r="M30" s="20" t="s">
        <v>72</v>
      </c>
      <c r="N30" s="18">
        <v>0</v>
      </c>
      <c r="O30" s="20" t="s">
        <v>72</v>
      </c>
    </row>
    <row r="31" spans="1:15" x14ac:dyDescent="0.25">
      <c r="A31" s="3">
        <v>44044</v>
      </c>
      <c r="B31" s="21">
        <v>30</v>
      </c>
      <c r="C31" s="22">
        <v>1</v>
      </c>
      <c r="D31" s="22">
        <v>1</v>
      </c>
      <c r="E31" s="23" t="s">
        <v>71</v>
      </c>
      <c r="F31" s="21">
        <v>0</v>
      </c>
      <c r="G31" s="23" t="s">
        <v>72</v>
      </c>
      <c r="H31" s="21">
        <v>0</v>
      </c>
      <c r="I31" s="23" t="s">
        <v>72</v>
      </c>
      <c r="J31" s="21">
        <v>1</v>
      </c>
      <c r="K31" s="23" t="s">
        <v>72</v>
      </c>
      <c r="L31" s="21">
        <v>0</v>
      </c>
      <c r="M31" s="23" t="s">
        <v>72</v>
      </c>
      <c r="N31" s="21">
        <v>0</v>
      </c>
      <c r="O31" s="23" t="s">
        <v>72</v>
      </c>
    </row>
    <row r="32" spans="1:15" x14ac:dyDescent="0.25">
      <c r="A32" s="1">
        <v>44075</v>
      </c>
      <c r="B32" s="18">
        <v>31</v>
      </c>
      <c r="C32" s="19">
        <v>1</v>
      </c>
      <c r="D32" s="19">
        <v>1</v>
      </c>
      <c r="E32" s="20" t="s">
        <v>71</v>
      </c>
      <c r="F32" s="18">
        <v>0</v>
      </c>
      <c r="G32" s="20" t="s">
        <v>72</v>
      </c>
      <c r="H32" s="18">
        <v>0</v>
      </c>
      <c r="I32" s="20" t="s">
        <v>72</v>
      </c>
      <c r="J32" s="18">
        <v>1</v>
      </c>
      <c r="K32" s="20" t="s">
        <v>72</v>
      </c>
      <c r="L32" s="18">
        <v>0</v>
      </c>
      <c r="M32" s="20" t="s">
        <v>72</v>
      </c>
      <c r="N32" s="18">
        <v>0</v>
      </c>
      <c r="O32" s="20" t="s">
        <v>72</v>
      </c>
    </row>
    <row r="33" spans="1:15" x14ac:dyDescent="0.25">
      <c r="A33" s="3">
        <v>44105</v>
      </c>
      <c r="B33" s="21">
        <v>32</v>
      </c>
      <c r="C33" s="22">
        <v>1</v>
      </c>
      <c r="D33" s="22">
        <v>1</v>
      </c>
      <c r="E33" s="23" t="s">
        <v>71</v>
      </c>
      <c r="F33" s="21">
        <v>0</v>
      </c>
      <c r="G33" s="23" t="s">
        <v>72</v>
      </c>
      <c r="H33" s="21">
        <v>0</v>
      </c>
      <c r="I33" s="23" t="s">
        <v>72</v>
      </c>
      <c r="J33" s="21">
        <v>1</v>
      </c>
      <c r="K33" s="23" t="s">
        <v>72</v>
      </c>
      <c r="L33" s="21">
        <v>0</v>
      </c>
      <c r="M33" s="23" t="s">
        <v>72</v>
      </c>
      <c r="N33" s="21">
        <v>0</v>
      </c>
      <c r="O33" s="23" t="s">
        <v>72</v>
      </c>
    </row>
    <row r="34" spans="1:15" x14ac:dyDescent="0.25">
      <c r="A34" s="1">
        <v>44136</v>
      </c>
      <c r="B34" s="18">
        <v>33</v>
      </c>
      <c r="C34" s="19">
        <v>1</v>
      </c>
      <c r="D34" s="19">
        <v>1</v>
      </c>
      <c r="E34" s="20" t="s">
        <v>71</v>
      </c>
      <c r="F34" s="18">
        <v>0</v>
      </c>
      <c r="G34" s="20" t="s">
        <v>72</v>
      </c>
      <c r="H34" s="18">
        <v>0</v>
      </c>
      <c r="I34" s="20" t="s">
        <v>72</v>
      </c>
      <c r="J34" s="18">
        <v>1</v>
      </c>
      <c r="K34" s="20" t="s">
        <v>72</v>
      </c>
      <c r="L34" s="18">
        <v>0</v>
      </c>
      <c r="M34" s="20" t="s">
        <v>72</v>
      </c>
      <c r="N34" s="18">
        <v>0</v>
      </c>
      <c r="O34" s="20" t="s">
        <v>72</v>
      </c>
    </row>
    <row r="35" spans="1:15" x14ac:dyDescent="0.25">
      <c r="A35" s="3">
        <v>44166</v>
      </c>
      <c r="B35" s="21">
        <v>34</v>
      </c>
      <c r="C35" s="22">
        <v>1</v>
      </c>
      <c r="D35" s="22">
        <v>1</v>
      </c>
      <c r="E35" s="23" t="s">
        <v>71</v>
      </c>
      <c r="F35" s="21">
        <v>0</v>
      </c>
      <c r="G35" s="23" t="s">
        <v>72</v>
      </c>
      <c r="H35" s="21">
        <v>0</v>
      </c>
      <c r="I35" s="23" t="s">
        <v>72</v>
      </c>
      <c r="J35" s="21">
        <v>1</v>
      </c>
      <c r="K35" s="23" t="s">
        <v>72</v>
      </c>
      <c r="L35" s="21">
        <v>0</v>
      </c>
      <c r="M35" s="23" t="s">
        <v>72</v>
      </c>
      <c r="N35" s="21">
        <v>0</v>
      </c>
      <c r="O35" s="23" t="s">
        <v>72</v>
      </c>
    </row>
    <row r="36" spans="1:15" x14ac:dyDescent="0.25">
      <c r="A36" s="1">
        <v>44197</v>
      </c>
      <c r="B36" s="18">
        <v>35</v>
      </c>
      <c r="C36" s="19">
        <v>1</v>
      </c>
      <c r="D36" s="19">
        <v>1</v>
      </c>
      <c r="E36" s="20" t="s">
        <v>71</v>
      </c>
      <c r="F36" s="18">
        <v>0</v>
      </c>
      <c r="G36" s="20" t="s">
        <v>72</v>
      </c>
      <c r="H36" s="18">
        <v>0</v>
      </c>
      <c r="I36" s="20" t="s">
        <v>72</v>
      </c>
      <c r="J36" s="18">
        <v>1</v>
      </c>
      <c r="K36" s="20" t="s">
        <v>72</v>
      </c>
      <c r="L36" s="18">
        <v>0</v>
      </c>
      <c r="M36" s="20" t="s">
        <v>72</v>
      </c>
      <c r="N36" s="18">
        <v>0</v>
      </c>
      <c r="O36" s="20" t="s">
        <v>72</v>
      </c>
    </row>
    <row r="37" spans="1:15" x14ac:dyDescent="0.25">
      <c r="A37" s="3">
        <v>44228</v>
      </c>
      <c r="B37" s="21">
        <v>36</v>
      </c>
      <c r="C37" s="22">
        <v>1</v>
      </c>
      <c r="D37" s="22">
        <v>1</v>
      </c>
      <c r="E37" s="23" t="s">
        <v>71</v>
      </c>
      <c r="F37" s="21">
        <v>0</v>
      </c>
      <c r="G37" s="23" t="s">
        <v>72</v>
      </c>
      <c r="H37" s="21">
        <v>0</v>
      </c>
      <c r="I37" s="23" t="s">
        <v>72</v>
      </c>
      <c r="J37" s="21">
        <v>1</v>
      </c>
      <c r="K37" s="23" t="s">
        <v>72</v>
      </c>
      <c r="L37" s="21">
        <v>0</v>
      </c>
      <c r="M37" s="23" t="s">
        <v>72</v>
      </c>
      <c r="N37" s="21">
        <v>0</v>
      </c>
      <c r="O37" s="23" t="s">
        <v>72</v>
      </c>
    </row>
    <row r="38" spans="1:15" x14ac:dyDescent="0.25">
      <c r="A38" s="1">
        <v>44256</v>
      </c>
      <c r="B38" s="18">
        <v>37</v>
      </c>
      <c r="C38" s="19">
        <v>1</v>
      </c>
      <c r="D38" s="19">
        <v>1</v>
      </c>
      <c r="E38" s="20" t="s">
        <v>71</v>
      </c>
      <c r="F38" s="18">
        <v>1</v>
      </c>
      <c r="G38" s="20" t="s">
        <v>72</v>
      </c>
      <c r="H38" s="18">
        <v>1</v>
      </c>
      <c r="I38" s="20" t="s">
        <v>72</v>
      </c>
      <c r="J38" s="18">
        <v>2</v>
      </c>
      <c r="K38" s="20" t="s">
        <v>72</v>
      </c>
      <c r="L38" s="18">
        <v>0</v>
      </c>
      <c r="M38" s="20" t="s">
        <v>72</v>
      </c>
      <c r="N38" s="18">
        <v>0</v>
      </c>
      <c r="O38" s="20" t="s">
        <v>72</v>
      </c>
    </row>
    <row r="39" spans="1:15" x14ac:dyDescent="0.25">
      <c r="A39" s="3">
        <v>44287</v>
      </c>
      <c r="B39" s="21">
        <v>38</v>
      </c>
      <c r="C39" s="22">
        <v>1</v>
      </c>
      <c r="D39" s="22">
        <v>1</v>
      </c>
      <c r="E39" s="23" t="s">
        <v>71</v>
      </c>
      <c r="F39" s="21">
        <v>1</v>
      </c>
      <c r="G39" s="23" t="s">
        <v>72</v>
      </c>
      <c r="H39" s="21">
        <v>1</v>
      </c>
      <c r="I39" s="23" t="s">
        <v>72</v>
      </c>
      <c r="J39" s="21">
        <v>2</v>
      </c>
      <c r="K39" s="23" t="s">
        <v>72</v>
      </c>
      <c r="L39" s="21">
        <v>0</v>
      </c>
      <c r="M39" s="23" t="s">
        <v>72</v>
      </c>
      <c r="N39" s="21">
        <v>0</v>
      </c>
      <c r="O39" s="23" t="s">
        <v>72</v>
      </c>
    </row>
    <row r="40" spans="1:15" x14ac:dyDescent="0.25">
      <c r="A40" s="1">
        <v>44317</v>
      </c>
      <c r="B40" s="18">
        <v>39</v>
      </c>
      <c r="C40" s="19">
        <v>1</v>
      </c>
      <c r="D40" s="19">
        <v>1</v>
      </c>
      <c r="E40" s="20" t="s">
        <v>71</v>
      </c>
      <c r="F40" s="18">
        <v>1</v>
      </c>
      <c r="G40" s="20" t="s">
        <v>72</v>
      </c>
      <c r="H40" s="18">
        <v>1</v>
      </c>
      <c r="I40" s="20" t="s">
        <v>72</v>
      </c>
      <c r="J40" s="18">
        <v>2</v>
      </c>
      <c r="K40" s="20" t="s">
        <v>72</v>
      </c>
      <c r="L40" s="18">
        <v>0</v>
      </c>
      <c r="M40" s="20" t="s">
        <v>72</v>
      </c>
      <c r="N40" s="18">
        <v>0</v>
      </c>
      <c r="O40" s="20" t="s">
        <v>72</v>
      </c>
    </row>
    <row r="41" spans="1:15" x14ac:dyDescent="0.25">
      <c r="A41" s="3">
        <v>44348</v>
      </c>
      <c r="B41" s="21">
        <v>40</v>
      </c>
      <c r="C41" s="22">
        <v>1</v>
      </c>
      <c r="D41" s="22">
        <v>1</v>
      </c>
      <c r="E41" s="23" t="s">
        <v>71</v>
      </c>
      <c r="F41" s="21">
        <v>1</v>
      </c>
      <c r="G41" s="23" t="s">
        <v>72</v>
      </c>
      <c r="H41" s="21">
        <v>1</v>
      </c>
      <c r="I41" s="23" t="s">
        <v>72</v>
      </c>
      <c r="J41" s="21">
        <v>2</v>
      </c>
      <c r="K41" s="23" t="s">
        <v>72</v>
      </c>
      <c r="L41" s="21">
        <v>0</v>
      </c>
      <c r="M41" s="23" t="s">
        <v>72</v>
      </c>
      <c r="N41" s="21">
        <v>0</v>
      </c>
      <c r="O41" s="23" t="s">
        <v>72</v>
      </c>
    </row>
    <row r="42" spans="1:15" x14ac:dyDescent="0.25">
      <c r="A42" s="1">
        <v>44378</v>
      </c>
      <c r="B42" s="18">
        <v>41</v>
      </c>
      <c r="C42" s="19">
        <v>1</v>
      </c>
      <c r="D42" s="19">
        <v>1</v>
      </c>
      <c r="E42" s="20" t="s">
        <v>71</v>
      </c>
      <c r="F42" s="18">
        <v>1</v>
      </c>
      <c r="G42" s="20" t="s">
        <v>72</v>
      </c>
      <c r="H42" s="18">
        <v>1</v>
      </c>
      <c r="I42" s="20" t="s">
        <v>72</v>
      </c>
      <c r="J42" s="18">
        <v>2</v>
      </c>
      <c r="K42" s="20" t="s">
        <v>72</v>
      </c>
      <c r="L42" s="18">
        <v>0</v>
      </c>
      <c r="M42" s="20" t="s">
        <v>72</v>
      </c>
      <c r="N42" s="18">
        <v>0</v>
      </c>
      <c r="O42" s="20" t="s">
        <v>72</v>
      </c>
    </row>
    <row r="43" spans="1:15" x14ac:dyDescent="0.25">
      <c r="A43" s="3">
        <v>44409</v>
      </c>
      <c r="B43" s="21">
        <v>42</v>
      </c>
      <c r="C43" s="22">
        <v>1</v>
      </c>
      <c r="D43" s="22">
        <v>1</v>
      </c>
      <c r="E43" s="23" t="s">
        <v>71</v>
      </c>
      <c r="F43" s="21">
        <v>1</v>
      </c>
      <c r="G43" s="23" t="s">
        <v>72</v>
      </c>
      <c r="H43" s="21">
        <v>1</v>
      </c>
      <c r="I43" s="23" t="s">
        <v>72</v>
      </c>
      <c r="J43" s="21">
        <v>2</v>
      </c>
      <c r="K43" s="23" t="s">
        <v>72</v>
      </c>
      <c r="L43" s="21">
        <v>0</v>
      </c>
      <c r="M43" s="23" t="s">
        <v>72</v>
      </c>
      <c r="N43" s="21">
        <v>0</v>
      </c>
      <c r="O43" s="23" t="s">
        <v>72</v>
      </c>
    </row>
    <row r="44" spans="1:15" x14ac:dyDescent="0.25">
      <c r="A44" s="1">
        <v>44440</v>
      </c>
      <c r="B44" s="18">
        <v>43</v>
      </c>
      <c r="C44" s="19">
        <v>1</v>
      </c>
      <c r="D44" s="19">
        <v>1</v>
      </c>
      <c r="E44" s="20" t="s">
        <v>71</v>
      </c>
      <c r="F44" s="18">
        <v>1</v>
      </c>
      <c r="G44" s="20" t="s">
        <v>72</v>
      </c>
      <c r="H44" s="18">
        <v>1</v>
      </c>
      <c r="I44" s="20" t="s">
        <v>72</v>
      </c>
      <c r="J44" s="18">
        <v>2</v>
      </c>
      <c r="K44" s="20" t="s">
        <v>72</v>
      </c>
      <c r="L44" s="18">
        <v>0</v>
      </c>
      <c r="M44" s="20" t="s">
        <v>72</v>
      </c>
      <c r="N44" s="18">
        <v>0</v>
      </c>
      <c r="O44" s="20" t="s">
        <v>72</v>
      </c>
    </row>
    <row r="45" spans="1:15" x14ac:dyDescent="0.25">
      <c r="A45" s="3">
        <v>44470</v>
      </c>
      <c r="B45" s="21">
        <v>44</v>
      </c>
      <c r="C45" s="22">
        <v>1</v>
      </c>
      <c r="D45" s="22">
        <v>1</v>
      </c>
      <c r="E45" s="23" t="s">
        <v>71</v>
      </c>
      <c r="F45" s="21">
        <v>1</v>
      </c>
      <c r="G45" s="23" t="s">
        <v>72</v>
      </c>
      <c r="H45" s="21">
        <v>1</v>
      </c>
      <c r="I45" s="23" t="s">
        <v>72</v>
      </c>
      <c r="J45" s="21">
        <v>2</v>
      </c>
      <c r="K45" s="23" t="s">
        <v>72</v>
      </c>
      <c r="L45" s="21">
        <v>0</v>
      </c>
      <c r="M45" s="23" t="s">
        <v>72</v>
      </c>
      <c r="N45" s="21">
        <v>0</v>
      </c>
      <c r="O45" s="23" t="s">
        <v>72</v>
      </c>
    </row>
    <row r="46" spans="1:15" x14ac:dyDescent="0.25">
      <c r="A46" s="1">
        <v>44501</v>
      </c>
      <c r="B46" s="18">
        <v>45</v>
      </c>
      <c r="C46" s="19">
        <v>1</v>
      </c>
      <c r="D46" s="19">
        <v>1</v>
      </c>
      <c r="E46" s="20" t="s">
        <v>71</v>
      </c>
      <c r="F46" s="18">
        <v>1</v>
      </c>
      <c r="G46" s="20" t="s">
        <v>72</v>
      </c>
      <c r="H46" s="18">
        <v>1</v>
      </c>
      <c r="I46" s="20" t="s">
        <v>72</v>
      </c>
      <c r="J46" s="18">
        <v>2</v>
      </c>
      <c r="K46" s="20" t="s">
        <v>72</v>
      </c>
      <c r="L46" s="18">
        <v>0</v>
      </c>
      <c r="M46" s="20" t="s">
        <v>72</v>
      </c>
      <c r="N46" s="18">
        <v>0</v>
      </c>
      <c r="O46" s="20" t="s">
        <v>72</v>
      </c>
    </row>
    <row r="47" spans="1:15" x14ac:dyDescent="0.25">
      <c r="A47" s="3">
        <v>44531</v>
      </c>
      <c r="B47" s="21">
        <v>46</v>
      </c>
      <c r="C47" s="22">
        <v>1</v>
      </c>
      <c r="D47" s="22">
        <v>1</v>
      </c>
      <c r="E47" s="23" t="s">
        <v>71</v>
      </c>
      <c r="F47" s="21">
        <v>1</v>
      </c>
      <c r="G47" s="23" t="s">
        <v>72</v>
      </c>
      <c r="H47" s="21">
        <v>1</v>
      </c>
      <c r="I47" s="23" t="s">
        <v>72</v>
      </c>
      <c r="J47" s="21">
        <v>2</v>
      </c>
      <c r="K47" s="23" t="s">
        <v>72</v>
      </c>
      <c r="L47" s="21">
        <v>0</v>
      </c>
      <c r="M47" s="23" t="s">
        <v>72</v>
      </c>
      <c r="N47" s="21">
        <v>0</v>
      </c>
      <c r="O47" s="23" t="s">
        <v>72</v>
      </c>
    </row>
    <row r="48" spans="1:15" x14ac:dyDescent="0.25">
      <c r="A48" s="1">
        <v>44562</v>
      </c>
      <c r="B48" s="18">
        <v>47</v>
      </c>
      <c r="C48" s="19">
        <v>1</v>
      </c>
      <c r="D48" s="19">
        <v>1</v>
      </c>
      <c r="E48" s="20" t="s">
        <v>71</v>
      </c>
      <c r="F48" s="18">
        <v>1</v>
      </c>
      <c r="G48" s="20" t="s">
        <v>72</v>
      </c>
      <c r="H48" s="18">
        <v>1</v>
      </c>
      <c r="I48" s="20" t="s">
        <v>72</v>
      </c>
      <c r="J48" s="18">
        <v>2</v>
      </c>
      <c r="K48" s="20" t="s">
        <v>72</v>
      </c>
      <c r="L48" s="18">
        <v>0</v>
      </c>
      <c r="M48" s="20" t="s">
        <v>72</v>
      </c>
      <c r="N48" s="18">
        <v>0</v>
      </c>
      <c r="O48" s="20" t="s">
        <v>72</v>
      </c>
    </row>
    <row r="49" spans="1:15" x14ac:dyDescent="0.25">
      <c r="A49" s="3">
        <v>44593</v>
      </c>
      <c r="B49" s="21">
        <v>48</v>
      </c>
      <c r="C49" s="22">
        <v>1</v>
      </c>
      <c r="D49" s="22">
        <v>1</v>
      </c>
      <c r="E49" s="23" t="s">
        <v>71</v>
      </c>
      <c r="F49" s="21">
        <v>1</v>
      </c>
      <c r="G49" s="23" t="s">
        <v>72</v>
      </c>
      <c r="H49" s="21">
        <v>1</v>
      </c>
      <c r="I49" s="23" t="s">
        <v>72</v>
      </c>
      <c r="J49" s="21">
        <v>2</v>
      </c>
      <c r="K49" s="23" t="s">
        <v>72</v>
      </c>
      <c r="L49" s="21">
        <v>0</v>
      </c>
      <c r="M49" s="23" t="s">
        <v>72</v>
      </c>
      <c r="N49" s="21">
        <v>0</v>
      </c>
      <c r="O49" s="23" t="s">
        <v>72</v>
      </c>
    </row>
    <row r="50" spans="1:15" x14ac:dyDescent="0.25">
      <c r="A50" s="1">
        <v>44621</v>
      </c>
      <c r="B50" s="18">
        <v>49</v>
      </c>
      <c r="C50" s="19">
        <v>1</v>
      </c>
      <c r="D50" s="19">
        <v>1</v>
      </c>
      <c r="E50" s="20" t="s">
        <v>71</v>
      </c>
      <c r="F50" s="18">
        <v>2</v>
      </c>
      <c r="G50" s="20" t="s">
        <v>72</v>
      </c>
      <c r="H50" s="18">
        <v>2</v>
      </c>
      <c r="I50" s="20" t="s">
        <v>72</v>
      </c>
      <c r="J50" s="18">
        <v>3</v>
      </c>
      <c r="K50" s="20" t="s">
        <v>72</v>
      </c>
      <c r="L50" s="18">
        <v>0</v>
      </c>
      <c r="M50" s="20" t="s">
        <v>72</v>
      </c>
      <c r="N50" s="18">
        <v>0</v>
      </c>
      <c r="O50" s="20" t="s">
        <v>72</v>
      </c>
    </row>
    <row r="51" spans="1:15" x14ac:dyDescent="0.25">
      <c r="A51" s="3">
        <v>44652</v>
      </c>
      <c r="B51" s="21">
        <v>50</v>
      </c>
      <c r="C51" s="22">
        <v>1</v>
      </c>
      <c r="D51" s="22">
        <v>1</v>
      </c>
      <c r="E51" s="23" t="s">
        <v>71</v>
      </c>
      <c r="F51" s="21">
        <v>2</v>
      </c>
      <c r="G51" s="23" t="s">
        <v>72</v>
      </c>
      <c r="H51" s="21">
        <v>2</v>
      </c>
      <c r="I51" s="23" t="s">
        <v>72</v>
      </c>
      <c r="J51" s="21">
        <v>3</v>
      </c>
      <c r="K51" s="23" t="s">
        <v>72</v>
      </c>
      <c r="L51" s="21">
        <v>0</v>
      </c>
      <c r="M51" s="23" t="s">
        <v>72</v>
      </c>
      <c r="N51" s="21">
        <v>0</v>
      </c>
      <c r="O51" s="23" t="s">
        <v>72</v>
      </c>
    </row>
    <row r="52" spans="1:15" x14ac:dyDescent="0.25">
      <c r="A52" s="1">
        <v>44682</v>
      </c>
      <c r="B52" s="18">
        <v>51</v>
      </c>
      <c r="C52" s="19">
        <v>1</v>
      </c>
      <c r="D52" s="19">
        <v>1</v>
      </c>
      <c r="E52" s="20" t="s">
        <v>71</v>
      </c>
      <c r="F52" s="18">
        <v>2</v>
      </c>
      <c r="G52" s="20" t="s">
        <v>72</v>
      </c>
      <c r="H52" s="18">
        <v>2</v>
      </c>
      <c r="I52" s="20" t="s">
        <v>72</v>
      </c>
      <c r="J52" s="18">
        <v>3</v>
      </c>
      <c r="K52" s="20" t="s">
        <v>72</v>
      </c>
      <c r="L52" s="18">
        <v>0</v>
      </c>
      <c r="M52" s="20" t="s">
        <v>72</v>
      </c>
      <c r="N52" s="18">
        <v>0</v>
      </c>
      <c r="O52" s="20" t="s">
        <v>72</v>
      </c>
    </row>
    <row r="53" spans="1:15" x14ac:dyDescent="0.25">
      <c r="A53" s="3">
        <v>44713</v>
      </c>
      <c r="B53" s="21">
        <v>52</v>
      </c>
      <c r="C53" s="22">
        <v>1</v>
      </c>
      <c r="D53" s="22">
        <v>1</v>
      </c>
      <c r="E53" s="23" t="s">
        <v>71</v>
      </c>
      <c r="F53" s="21">
        <v>2</v>
      </c>
      <c r="G53" s="23" t="s">
        <v>72</v>
      </c>
      <c r="H53" s="21">
        <v>2</v>
      </c>
      <c r="I53" s="23" t="s">
        <v>72</v>
      </c>
      <c r="J53" s="21">
        <v>3</v>
      </c>
      <c r="K53" s="23" t="s">
        <v>72</v>
      </c>
      <c r="L53" s="21">
        <v>0</v>
      </c>
      <c r="M53" s="23" t="s">
        <v>72</v>
      </c>
      <c r="N53" s="21">
        <v>0</v>
      </c>
      <c r="O53" s="23" t="s">
        <v>72</v>
      </c>
    </row>
    <row r="54" spans="1:15" x14ac:dyDescent="0.25">
      <c r="A54" s="1">
        <v>44743</v>
      </c>
      <c r="B54" s="18">
        <v>53</v>
      </c>
      <c r="C54" s="19">
        <v>1</v>
      </c>
      <c r="D54" s="19">
        <v>1</v>
      </c>
      <c r="E54" s="20" t="s">
        <v>71</v>
      </c>
      <c r="F54" s="18">
        <v>2</v>
      </c>
      <c r="G54" s="20" t="s">
        <v>72</v>
      </c>
      <c r="H54" s="18">
        <v>2</v>
      </c>
      <c r="I54" s="20" t="s">
        <v>72</v>
      </c>
      <c r="J54" s="18">
        <v>3</v>
      </c>
      <c r="K54" s="20" t="s">
        <v>72</v>
      </c>
      <c r="L54" s="18">
        <v>0</v>
      </c>
      <c r="M54" s="20" t="s">
        <v>72</v>
      </c>
      <c r="N54" s="18">
        <v>0</v>
      </c>
      <c r="O54" s="20" t="s">
        <v>72</v>
      </c>
    </row>
    <row r="55" spans="1:15" x14ac:dyDescent="0.25">
      <c r="A55" s="3">
        <v>44774</v>
      </c>
      <c r="B55" s="21">
        <v>54</v>
      </c>
      <c r="C55" s="22">
        <v>1</v>
      </c>
      <c r="D55" s="22">
        <v>1</v>
      </c>
      <c r="E55" s="23" t="s">
        <v>71</v>
      </c>
      <c r="F55" s="21">
        <v>2</v>
      </c>
      <c r="G55" s="23" t="s">
        <v>72</v>
      </c>
      <c r="H55" s="21">
        <v>2</v>
      </c>
      <c r="I55" s="23" t="s">
        <v>72</v>
      </c>
      <c r="J55" s="21">
        <v>3</v>
      </c>
      <c r="K55" s="23" t="s">
        <v>72</v>
      </c>
      <c r="L55" s="21">
        <v>0</v>
      </c>
      <c r="M55" s="23" t="s">
        <v>72</v>
      </c>
      <c r="N55" s="21">
        <v>0</v>
      </c>
      <c r="O55" s="23" t="s">
        <v>72</v>
      </c>
    </row>
    <row r="56" spans="1:15" x14ac:dyDescent="0.25">
      <c r="A56" s="1">
        <v>44805</v>
      </c>
      <c r="B56" s="18">
        <v>55</v>
      </c>
      <c r="C56" s="19">
        <v>1</v>
      </c>
      <c r="D56" s="19">
        <v>1</v>
      </c>
      <c r="E56" s="20" t="s">
        <v>71</v>
      </c>
      <c r="F56" s="18">
        <v>2</v>
      </c>
      <c r="G56" s="20" t="s">
        <v>72</v>
      </c>
      <c r="H56" s="18">
        <v>2</v>
      </c>
      <c r="I56" s="20" t="s">
        <v>72</v>
      </c>
      <c r="J56" s="18">
        <v>3</v>
      </c>
      <c r="K56" s="20" t="s">
        <v>72</v>
      </c>
      <c r="L56" s="18">
        <v>0</v>
      </c>
      <c r="M56" s="20" t="s">
        <v>72</v>
      </c>
      <c r="N56" s="18">
        <v>0</v>
      </c>
      <c r="O56" s="20" t="s">
        <v>72</v>
      </c>
    </row>
    <row r="57" spans="1:15" x14ac:dyDescent="0.25">
      <c r="A57" s="3">
        <v>44835</v>
      </c>
      <c r="B57" s="21">
        <v>56</v>
      </c>
      <c r="C57" s="22">
        <v>1</v>
      </c>
      <c r="D57" s="22">
        <v>1</v>
      </c>
      <c r="E57" s="23" t="s">
        <v>71</v>
      </c>
      <c r="F57" s="21">
        <v>2</v>
      </c>
      <c r="G57" s="23" t="s">
        <v>72</v>
      </c>
      <c r="H57" s="21">
        <v>2</v>
      </c>
      <c r="I57" s="23" t="s">
        <v>72</v>
      </c>
      <c r="J57" s="21">
        <v>3</v>
      </c>
      <c r="K57" s="23" t="s">
        <v>72</v>
      </c>
      <c r="L57" s="21">
        <v>0</v>
      </c>
      <c r="M57" s="23" t="s">
        <v>72</v>
      </c>
      <c r="N57" s="21">
        <v>0</v>
      </c>
      <c r="O57" s="23" t="s">
        <v>72</v>
      </c>
    </row>
    <row r="58" spans="1:15" x14ac:dyDescent="0.25">
      <c r="A58" s="1">
        <v>44866</v>
      </c>
      <c r="B58" s="18">
        <v>57</v>
      </c>
      <c r="C58" s="19">
        <v>1</v>
      </c>
      <c r="D58" s="19">
        <v>1</v>
      </c>
      <c r="E58" s="20" t="s">
        <v>71</v>
      </c>
      <c r="F58" s="18">
        <v>2</v>
      </c>
      <c r="G58" s="20" t="s">
        <v>72</v>
      </c>
      <c r="H58" s="18">
        <v>2</v>
      </c>
      <c r="I58" s="20" t="s">
        <v>72</v>
      </c>
      <c r="J58" s="18">
        <v>3</v>
      </c>
      <c r="K58" s="20" t="s">
        <v>72</v>
      </c>
      <c r="L58" s="18">
        <v>0</v>
      </c>
      <c r="M58" s="20" t="s">
        <v>72</v>
      </c>
      <c r="N58" s="18">
        <v>0</v>
      </c>
      <c r="O58" s="20" t="s">
        <v>72</v>
      </c>
    </row>
    <row r="59" spans="1:15" x14ac:dyDescent="0.25">
      <c r="A59" s="3">
        <v>44896</v>
      </c>
      <c r="B59" s="21">
        <v>58</v>
      </c>
      <c r="C59" s="22">
        <v>1</v>
      </c>
      <c r="D59" s="22">
        <v>1</v>
      </c>
      <c r="E59" s="23" t="s">
        <v>71</v>
      </c>
      <c r="F59" s="21">
        <v>2</v>
      </c>
      <c r="G59" s="23" t="s">
        <v>72</v>
      </c>
      <c r="H59" s="21">
        <v>2</v>
      </c>
      <c r="I59" s="23" t="s">
        <v>72</v>
      </c>
      <c r="J59" s="21">
        <v>3</v>
      </c>
      <c r="K59" s="23" t="s">
        <v>72</v>
      </c>
      <c r="L59" s="21">
        <v>0</v>
      </c>
      <c r="M59" s="23" t="s">
        <v>72</v>
      </c>
      <c r="N59" s="21">
        <v>0</v>
      </c>
      <c r="O59" s="23" t="s">
        <v>72</v>
      </c>
    </row>
    <row r="60" spans="1:15" x14ac:dyDescent="0.25">
      <c r="A60" s="1">
        <v>44927</v>
      </c>
      <c r="B60" s="18">
        <v>59</v>
      </c>
      <c r="C60" s="19">
        <v>1</v>
      </c>
      <c r="D60" s="19">
        <v>1</v>
      </c>
      <c r="E60" s="20" t="s">
        <v>71</v>
      </c>
      <c r="F60" s="18">
        <v>2</v>
      </c>
      <c r="G60" s="20" t="s">
        <v>72</v>
      </c>
      <c r="H60" s="18">
        <v>2</v>
      </c>
      <c r="I60" s="20" t="s">
        <v>72</v>
      </c>
      <c r="J60" s="18">
        <v>3</v>
      </c>
      <c r="K60" s="20" t="s">
        <v>72</v>
      </c>
      <c r="L60" s="18">
        <v>0</v>
      </c>
      <c r="M60" s="20" t="s">
        <v>72</v>
      </c>
      <c r="N60" s="18">
        <v>0</v>
      </c>
      <c r="O60" s="20" t="s">
        <v>72</v>
      </c>
    </row>
    <row r="61" spans="1:15" x14ac:dyDescent="0.25">
      <c r="A61" s="3">
        <v>44958</v>
      </c>
      <c r="B61" s="21">
        <v>60</v>
      </c>
      <c r="C61" s="22">
        <v>1</v>
      </c>
      <c r="D61" s="22">
        <v>1</v>
      </c>
      <c r="E61" s="23" t="s">
        <v>71</v>
      </c>
      <c r="F61" s="21">
        <v>2</v>
      </c>
      <c r="G61" s="23" t="s">
        <v>72</v>
      </c>
      <c r="H61" s="21">
        <v>2</v>
      </c>
      <c r="I61" s="23" t="s">
        <v>72</v>
      </c>
      <c r="J61" s="21">
        <v>3</v>
      </c>
      <c r="K61" s="23" t="s">
        <v>72</v>
      </c>
      <c r="L61" s="21">
        <v>0</v>
      </c>
      <c r="M61" s="23" t="s">
        <v>72</v>
      </c>
      <c r="N61" s="21">
        <v>0</v>
      </c>
      <c r="O61" s="23" t="s">
        <v>72</v>
      </c>
    </row>
    <row r="62" spans="1:15" x14ac:dyDescent="0.25">
      <c r="A62" s="1">
        <v>44986</v>
      </c>
      <c r="B62" s="18">
        <v>61</v>
      </c>
      <c r="C62" s="19">
        <v>1</v>
      </c>
      <c r="D62" s="19">
        <v>1</v>
      </c>
      <c r="E62" s="20" t="s">
        <v>71</v>
      </c>
      <c r="F62" s="18">
        <v>3</v>
      </c>
      <c r="G62" s="20" t="s">
        <v>72</v>
      </c>
      <c r="H62" s="18">
        <v>3</v>
      </c>
      <c r="I62" s="20" t="s">
        <v>72</v>
      </c>
      <c r="J62" s="18">
        <v>4</v>
      </c>
      <c r="K62" s="20" t="s">
        <v>72</v>
      </c>
      <c r="L62" s="18">
        <v>0</v>
      </c>
      <c r="M62" s="20" t="s">
        <v>72</v>
      </c>
      <c r="N62" s="18">
        <v>0</v>
      </c>
      <c r="O62" s="20" t="s">
        <v>72</v>
      </c>
    </row>
    <row r="63" spans="1:15" x14ac:dyDescent="0.25">
      <c r="A63" s="3">
        <v>45017</v>
      </c>
      <c r="B63" s="21">
        <v>62</v>
      </c>
      <c r="C63" s="22">
        <v>1</v>
      </c>
      <c r="D63" s="22">
        <v>1</v>
      </c>
      <c r="E63" s="23" t="s">
        <v>71</v>
      </c>
      <c r="F63" s="21">
        <v>3</v>
      </c>
      <c r="G63" s="23" t="s">
        <v>72</v>
      </c>
      <c r="H63" s="21">
        <v>3</v>
      </c>
      <c r="I63" s="23" t="s">
        <v>72</v>
      </c>
      <c r="J63" s="21">
        <v>4</v>
      </c>
      <c r="K63" s="23" t="s">
        <v>72</v>
      </c>
      <c r="L63" s="21">
        <v>0</v>
      </c>
      <c r="M63" s="23" t="s">
        <v>72</v>
      </c>
      <c r="N63" s="21">
        <v>0</v>
      </c>
      <c r="O63" s="23" t="s">
        <v>72</v>
      </c>
    </row>
    <row r="64" spans="1:15" x14ac:dyDescent="0.25">
      <c r="A64" s="1">
        <v>45047</v>
      </c>
      <c r="B64" s="18">
        <v>63</v>
      </c>
      <c r="C64" s="19">
        <v>1</v>
      </c>
      <c r="D64" s="19">
        <v>1</v>
      </c>
      <c r="E64" s="20" t="s">
        <v>71</v>
      </c>
      <c r="F64" s="18">
        <v>3</v>
      </c>
      <c r="G64" s="20" t="s">
        <v>72</v>
      </c>
      <c r="H64" s="18">
        <v>3</v>
      </c>
      <c r="I64" s="20" t="s">
        <v>72</v>
      </c>
      <c r="J64" s="18">
        <v>4</v>
      </c>
      <c r="K64" s="20" t="s">
        <v>72</v>
      </c>
      <c r="L64" s="18">
        <v>0</v>
      </c>
      <c r="M64" s="20" t="s">
        <v>72</v>
      </c>
      <c r="N64" s="18">
        <v>0</v>
      </c>
      <c r="O64" s="20" t="s">
        <v>72</v>
      </c>
    </row>
    <row r="65" spans="1:15" x14ac:dyDescent="0.25">
      <c r="A65" s="3">
        <v>45078</v>
      </c>
      <c r="B65" s="21">
        <v>64</v>
      </c>
      <c r="C65" s="22">
        <v>1</v>
      </c>
      <c r="D65" s="22">
        <v>1</v>
      </c>
      <c r="E65" s="23" t="s">
        <v>71</v>
      </c>
      <c r="F65" s="21">
        <v>3</v>
      </c>
      <c r="G65" s="23" t="s">
        <v>72</v>
      </c>
      <c r="H65" s="21">
        <v>3</v>
      </c>
      <c r="I65" s="23" t="s">
        <v>72</v>
      </c>
      <c r="J65" s="21">
        <v>4</v>
      </c>
      <c r="K65" s="23" t="s">
        <v>72</v>
      </c>
      <c r="L65" s="21">
        <v>0</v>
      </c>
      <c r="M65" s="23" t="s">
        <v>72</v>
      </c>
      <c r="N65" s="21">
        <v>0</v>
      </c>
      <c r="O65" s="23" t="s">
        <v>72</v>
      </c>
    </row>
    <row r="66" spans="1:15" x14ac:dyDescent="0.25">
      <c r="A66" s="1">
        <v>45108</v>
      </c>
      <c r="B66" s="18">
        <v>65</v>
      </c>
      <c r="C66" s="19">
        <v>1</v>
      </c>
      <c r="D66" s="19">
        <v>1</v>
      </c>
      <c r="E66" s="20" t="s">
        <v>71</v>
      </c>
      <c r="F66" s="18">
        <v>3</v>
      </c>
      <c r="G66" s="20" t="s">
        <v>72</v>
      </c>
      <c r="H66" s="18">
        <v>3</v>
      </c>
      <c r="I66" s="20" t="s">
        <v>72</v>
      </c>
      <c r="J66" s="18">
        <v>4</v>
      </c>
      <c r="K66" s="20" t="s">
        <v>72</v>
      </c>
      <c r="L66" s="18">
        <v>0</v>
      </c>
      <c r="M66" s="20" t="s">
        <v>72</v>
      </c>
      <c r="N66" s="18">
        <v>0</v>
      </c>
      <c r="O66" s="20" t="s">
        <v>72</v>
      </c>
    </row>
    <row r="67" spans="1:15" x14ac:dyDescent="0.25">
      <c r="A67" s="3">
        <v>45139</v>
      </c>
      <c r="B67" s="21">
        <v>66</v>
      </c>
      <c r="C67" s="22">
        <v>1</v>
      </c>
      <c r="D67" s="22">
        <v>1</v>
      </c>
      <c r="E67" s="23" t="s">
        <v>71</v>
      </c>
      <c r="F67" s="21">
        <v>3</v>
      </c>
      <c r="G67" s="23" t="s">
        <v>72</v>
      </c>
      <c r="H67" s="21">
        <v>3</v>
      </c>
      <c r="I67" s="23" t="s">
        <v>72</v>
      </c>
      <c r="J67" s="21">
        <v>4</v>
      </c>
      <c r="K67" s="23" t="s">
        <v>72</v>
      </c>
      <c r="L67" s="21">
        <v>0</v>
      </c>
      <c r="M67" s="23" t="s">
        <v>72</v>
      </c>
      <c r="N67" s="21">
        <v>0</v>
      </c>
      <c r="O67" s="23" t="s">
        <v>72</v>
      </c>
    </row>
    <row r="68" spans="1:15" x14ac:dyDescent="0.25">
      <c r="A68" s="1">
        <v>45170</v>
      </c>
      <c r="B68" s="18">
        <v>67</v>
      </c>
      <c r="C68" s="19">
        <v>1</v>
      </c>
      <c r="D68" s="19">
        <v>1</v>
      </c>
      <c r="E68" s="20" t="s">
        <v>71</v>
      </c>
      <c r="F68" s="18">
        <v>3</v>
      </c>
      <c r="G68" s="20" t="s">
        <v>72</v>
      </c>
      <c r="H68" s="18">
        <v>3</v>
      </c>
      <c r="I68" s="20" t="s">
        <v>72</v>
      </c>
      <c r="J68" s="18">
        <v>4</v>
      </c>
      <c r="K68" s="20" t="s">
        <v>72</v>
      </c>
      <c r="L68" s="18">
        <v>0</v>
      </c>
      <c r="M68" s="20" t="s">
        <v>72</v>
      </c>
      <c r="N68" s="18">
        <v>0</v>
      </c>
      <c r="O68" s="20" t="s">
        <v>72</v>
      </c>
    </row>
    <row r="69" spans="1:15" x14ac:dyDescent="0.25">
      <c r="A69" s="3">
        <v>45200</v>
      </c>
      <c r="B69" s="21">
        <v>68</v>
      </c>
      <c r="C69" s="22">
        <v>1</v>
      </c>
      <c r="D69" s="22">
        <v>1</v>
      </c>
      <c r="E69" s="23" t="s">
        <v>71</v>
      </c>
      <c r="F69" s="21">
        <v>3</v>
      </c>
      <c r="G69" s="23" t="s">
        <v>72</v>
      </c>
      <c r="H69" s="21">
        <v>3</v>
      </c>
      <c r="I69" s="23" t="s">
        <v>72</v>
      </c>
      <c r="J69" s="21">
        <v>4</v>
      </c>
      <c r="K69" s="23" t="s">
        <v>72</v>
      </c>
      <c r="L69" s="21">
        <v>0</v>
      </c>
      <c r="M69" s="23" t="s">
        <v>72</v>
      </c>
      <c r="N69" s="21">
        <v>0</v>
      </c>
      <c r="O69" s="23" t="s">
        <v>72</v>
      </c>
    </row>
    <row r="70" spans="1:15" x14ac:dyDescent="0.25">
      <c r="A70" s="1">
        <v>45231</v>
      </c>
      <c r="B70" s="18">
        <v>69</v>
      </c>
      <c r="C70" s="19">
        <v>1</v>
      </c>
      <c r="D70" s="19">
        <v>1</v>
      </c>
      <c r="E70" s="20" t="s">
        <v>71</v>
      </c>
      <c r="F70" s="18">
        <v>3</v>
      </c>
      <c r="G70" s="20" t="s">
        <v>72</v>
      </c>
      <c r="H70" s="18">
        <v>3</v>
      </c>
      <c r="I70" s="20" t="s">
        <v>72</v>
      </c>
      <c r="J70" s="18">
        <v>4</v>
      </c>
      <c r="K70" s="20" t="s">
        <v>72</v>
      </c>
      <c r="L70" s="18">
        <v>0</v>
      </c>
      <c r="M70" s="20" t="s">
        <v>72</v>
      </c>
      <c r="N70" s="18">
        <v>0</v>
      </c>
      <c r="O70" s="20" t="s">
        <v>72</v>
      </c>
    </row>
    <row r="71" spans="1:15" x14ac:dyDescent="0.25">
      <c r="A71" s="3">
        <v>45261</v>
      </c>
      <c r="B71" s="21">
        <v>70</v>
      </c>
      <c r="C71" s="22">
        <v>1</v>
      </c>
      <c r="D71" s="22">
        <v>1</v>
      </c>
      <c r="E71" s="23" t="s">
        <v>71</v>
      </c>
      <c r="F71" s="21">
        <v>3</v>
      </c>
      <c r="G71" s="23" t="s">
        <v>72</v>
      </c>
      <c r="H71" s="21">
        <v>3</v>
      </c>
      <c r="I71" s="23" t="s">
        <v>72</v>
      </c>
      <c r="J71" s="21">
        <v>4</v>
      </c>
      <c r="K71" s="23" t="s">
        <v>72</v>
      </c>
      <c r="L71" s="21">
        <v>0</v>
      </c>
      <c r="M71" s="23" t="s">
        <v>72</v>
      </c>
      <c r="N71" s="21">
        <v>0</v>
      </c>
      <c r="O71" s="23" t="s">
        <v>72</v>
      </c>
    </row>
    <row r="72" spans="1:15" x14ac:dyDescent="0.25">
      <c r="A72" s="1">
        <v>45292</v>
      </c>
      <c r="B72" s="18">
        <v>71</v>
      </c>
      <c r="C72" s="19">
        <v>1</v>
      </c>
      <c r="D72" s="19">
        <v>1</v>
      </c>
      <c r="E72" s="20" t="s">
        <v>71</v>
      </c>
      <c r="F72" s="18">
        <v>3</v>
      </c>
      <c r="G72" s="20" t="s">
        <v>72</v>
      </c>
      <c r="H72" s="18">
        <v>3</v>
      </c>
      <c r="I72" s="20" t="s">
        <v>72</v>
      </c>
      <c r="J72" s="18">
        <v>4</v>
      </c>
      <c r="K72" s="20" t="s">
        <v>72</v>
      </c>
      <c r="L72" s="18">
        <v>0</v>
      </c>
      <c r="M72" s="20" t="s">
        <v>72</v>
      </c>
      <c r="N72" s="18">
        <v>0</v>
      </c>
      <c r="O72" s="20" t="s">
        <v>72</v>
      </c>
    </row>
    <row r="73" spans="1:15" x14ac:dyDescent="0.25">
      <c r="A73" s="3">
        <v>45323</v>
      </c>
      <c r="B73" s="21">
        <v>72</v>
      </c>
      <c r="C73" s="22">
        <v>1</v>
      </c>
      <c r="D73" s="22">
        <v>1</v>
      </c>
      <c r="E73" s="23" t="s">
        <v>71</v>
      </c>
      <c r="F73" s="21">
        <v>3</v>
      </c>
      <c r="G73" s="23" t="s">
        <v>72</v>
      </c>
      <c r="H73" s="21">
        <v>3</v>
      </c>
      <c r="I73" s="23" t="s">
        <v>72</v>
      </c>
      <c r="J73" s="21">
        <v>4</v>
      </c>
      <c r="K73" s="23" t="s">
        <v>72</v>
      </c>
      <c r="L73" s="21">
        <v>0</v>
      </c>
      <c r="M73" s="23" t="s">
        <v>72</v>
      </c>
      <c r="N73" s="21">
        <v>0</v>
      </c>
      <c r="O73" s="23" t="s">
        <v>72</v>
      </c>
    </row>
    <row r="74" spans="1:15" x14ac:dyDescent="0.25">
      <c r="A74" s="1">
        <v>45352</v>
      </c>
      <c r="B74" s="18">
        <v>73</v>
      </c>
      <c r="C74" s="19">
        <v>1</v>
      </c>
      <c r="D74" s="19">
        <v>1</v>
      </c>
      <c r="E74" s="20" t="s">
        <v>71</v>
      </c>
      <c r="F74" s="18">
        <v>4</v>
      </c>
      <c r="G74" s="20" t="s">
        <v>72</v>
      </c>
      <c r="H74" s="18">
        <v>4</v>
      </c>
      <c r="I74" s="20" t="s">
        <v>72</v>
      </c>
      <c r="J74" s="18">
        <v>5</v>
      </c>
      <c r="K74" s="20" t="s">
        <v>72</v>
      </c>
      <c r="L74" s="18">
        <v>0</v>
      </c>
      <c r="M74" s="20" t="s">
        <v>72</v>
      </c>
      <c r="N74" s="18">
        <v>0</v>
      </c>
      <c r="O74" s="20" t="s">
        <v>72</v>
      </c>
    </row>
    <row r="75" spans="1:15" x14ac:dyDescent="0.25">
      <c r="A75" s="3">
        <v>45383</v>
      </c>
      <c r="B75" s="21">
        <v>74</v>
      </c>
      <c r="C75" s="22">
        <v>1</v>
      </c>
      <c r="D75" s="22">
        <v>1</v>
      </c>
      <c r="E75" s="23" t="s">
        <v>71</v>
      </c>
      <c r="F75" s="21">
        <v>4</v>
      </c>
      <c r="G75" s="23" t="s">
        <v>72</v>
      </c>
      <c r="H75" s="21">
        <v>4</v>
      </c>
      <c r="I75" s="23" t="s">
        <v>72</v>
      </c>
      <c r="J75" s="21">
        <v>5</v>
      </c>
      <c r="K75" s="23" t="s">
        <v>72</v>
      </c>
      <c r="L75" s="21">
        <v>0</v>
      </c>
      <c r="M75" s="23" t="s">
        <v>72</v>
      </c>
      <c r="N75" s="21">
        <v>0</v>
      </c>
      <c r="O75" s="23" t="s">
        <v>72</v>
      </c>
    </row>
    <row r="76" spans="1:15" x14ac:dyDescent="0.25">
      <c r="A76" s="1">
        <v>45413</v>
      </c>
      <c r="B76" s="18">
        <v>75</v>
      </c>
      <c r="C76" s="19">
        <v>1</v>
      </c>
      <c r="D76" s="19">
        <v>1</v>
      </c>
      <c r="E76" s="20" t="s">
        <v>71</v>
      </c>
      <c r="F76" s="18">
        <v>4</v>
      </c>
      <c r="G76" s="20" t="s">
        <v>72</v>
      </c>
      <c r="H76" s="18">
        <v>4</v>
      </c>
      <c r="I76" s="20" t="s">
        <v>72</v>
      </c>
      <c r="J76" s="18">
        <v>5</v>
      </c>
      <c r="K76" s="20" t="s">
        <v>72</v>
      </c>
      <c r="L76" s="18">
        <v>0</v>
      </c>
      <c r="M76" s="20" t="s">
        <v>72</v>
      </c>
      <c r="N76" s="18">
        <v>0</v>
      </c>
      <c r="O76" s="20" t="s">
        <v>72</v>
      </c>
    </row>
    <row r="77" spans="1:15" x14ac:dyDescent="0.25">
      <c r="A77" s="3">
        <v>45444</v>
      </c>
      <c r="B77" s="21">
        <v>76</v>
      </c>
      <c r="C77" s="22">
        <v>1</v>
      </c>
      <c r="D77" s="22">
        <v>1</v>
      </c>
      <c r="E77" s="23" t="s">
        <v>71</v>
      </c>
      <c r="F77" s="21">
        <v>4</v>
      </c>
      <c r="G77" s="23" t="s">
        <v>72</v>
      </c>
      <c r="H77" s="21">
        <v>4</v>
      </c>
      <c r="I77" s="23" t="s">
        <v>72</v>
      </c>
      <c r="J77" s="21">
        <v>5</v>
      </c>
      <c r="K77" s="23" t="s">
        <v>72</v>
      </c>
      <c r="L77" s="21">
        <v>0</v>
      </c>
      <c r="M77" s="23" t="s">
        <v>72</v>
      </c>
      <c r="N77" s="21">
        <v>0</v>
      </c>
      <c r="O77" s="23" t="s">
        <v>72</v>
      </c>
    </row>
    <row r="78" spans="1:15" x14ac:dyDescent="0.25">
      <c r="A78" s="1">
        <v>45474</v>
      </c>
      <c r="B78" s="18">
        <v>77</v>
      </c>
      <c r="C78" s="19">
        <v>1</v>
      </c>
      <c r="D78" s="19">
        <v>1</v>
      </c>
      <c r="E78" s="20" t="s">
        <v>71</v>
      </c>
      <c r="F78" s="18">
        <v>4</v>
      </c>
      <c r="G78" s="20" t="s">
        <v>72</v>
      </c>
      <c r="H78" s="18">
        <v>4</v>
      </c>
      <c r="I78" s="20" t="s">
        <v>72</v>
      </c>
      <c r="J78" s="18">
        <v>5</v>
      </c>
      <c r="K78" s="20" t="s">
        <v>72</v>
      </c>
      <c r="L78" s="18">
        <v>0</v>
      </c>
      <c r="M78" s="20" t="s">
        <v>72</v>
      </c>
      <c r="N78" s="18">
        <v>0</v>
      </c>
      <c r="O78" s="20" t="s">
        <v>72</v>
      </c>
    </row>
    <row r="79" spans="1:15" x14ac:dyDescent="0.25">
      <c r="A79" s="3">
        <v>45505</v>
      </c>
      <c r="B79" s="21">
        <v>78</v>
      </c>
      <c r="C79" s="22">
        <v>1</v>
      </c>
      <c r="D79" s="22">
        <v>1</v>
      </c>
      <c r="E79" s="23" t="s">
        <v>71</v>
      </c>
      <c r="F79" s="21">
        <v>4</v>
      </c>
      <c r="G79" s="23" t="s">
        <v>72</v>
      </c>
      <c r="H79" s="21">
        <v>4</v>
      </c>
      <c r="I79" s="23" t="s">
        <v>72</v>
      </c>
      <c r="J79" s="21">
        <v>5</v>
      </c>
      <c r="K79" s="23" t="s">
        <v>72</v>
      </c>
      <c r="L79" s="21">
        <v>0</v>
      </c>
      <c r="M79" s="23" t="s">
        <v>72</v>
      </c>
      <c r="N79" s="21">
        <v>0</v>
      </c>
      <c r="O79" s="23" t="s">
        <v>72</v>
      </c>
    </row>
    <row r="80" spans="1:15" x14ac:dyDescent="0.25">
      <c r="A80" s="1">
        <v>45536</v>
      </c>
      <c r="B80" s="18">
        <v>79</v>
      </c>
      <c r="C80" s="19">
        <v>1</v>
      </c>
      <c r="D80" s="19">
        <v>1</v>
      </c>
      <c r="E80" s="20" t="s">
        <v>71</v>
      </c>
      <c r="F80" s="18">
        <v>4</v>
      </c>
      <c r="G80" s="20" t="s">
        <v>72</v>
      </c>
      <c r="H80" s="18">
        <v>4</v>
      </c>
      <c r="I80" s="20" t="s">
        <v>72</v>
      </c>
      <c r="J80" s="18">
        <v>5</v>
      </c>
      <c r="K80" s="20" t="s">
        <v>72</v>
      </c>
      <c r="L80" s="18">
        <v>0</v>
      </c>
      <c r="M80" s="20" t="s">
        <v>72</v>
      </c>
      <c r="N80" s="18">
        <v>0</v>
      </c>
      <c r="O80" s="20" t="s">
        <v>72</v>
      </c>
    </row>
    <row r="81" spans="1:15" x14ac:dyDescent="0.25">
      <c r="A81" s="3">
        <v>45566</v>
      </c>
      <c r="B81" s="21">
        <v>80</v>
      </c>
      <c r="C81" s="22">
        <v>1</v>
      </c>
      <c r="D81" s="22">
        <v>1</v>
      </c>
      <c r="E81" s="23" t="s">
        <v>71</v>
      </c>
      <c r="F81" s="21">
        <v>4</v>
      </c>
      <c r="G81" s="23" t="s">
        <v>72</v>
      </c>
      <c r="H81" s="21">
        <v>4</v>
      </c>
      <c r="I81" s="23" t="s">
        <v>72</v>
      </c>
      <c r="J81" s="21">
        <v>5</v>
      </c>
      <c r="K81" s="23" t="s">
        <v>72</v>
      </c>
      <c r="L81" s="21">
        <v>0</v>
      </c>
      <c r="M81" s="23" t="s">
        <v>72</v>
      </c>
      <c r="N81" s="21">
        <v>0</v>
      </c>
      <c r="O81" s="23" t="s">
        <v>72</v>
      </c>
    </row>
    <row r="82" spans="1:15" x14ac:dyDescent="0.25">
      <c r="A82" s="1">
        <v>45597</v>
      </c>
      <c r="B82" s="18">
        <v>81</v>
      </c>
      <c r="C82" s="19">
        <v>1</v>
      </c>
      <c r="D82" s="19">
        <v>1</v>
      </c>
      <c r="E82" s="20" t="s">
        <v>71</v>
      </c>
      <c r="F82" s="18">
        <v>4</v>
      </c>
      <c r="G82" s="20" t="s">
        <v>72</v>
      </c>
      <c r="H82" s="18">
        <v>4</v>
      </c>
      <c r="I82" s="20" t="s">
        <v>72</v>
      </c>
      <c r="J82" s="18">
        <v>5</v>
      </c>
      <c r="K82" s="20" t="s">
        <v>72</v>
      </c>
      <c r="L82" s="18">
        <v>0</v>
      </c>
      <c r="M82" s="20" t="s">
        <v>72</v>
      </c>
      <c r="N82" s="18">
        <v>0</v>
      </c>
      <c r="O82" s="20" t="s">
        <v>72</v>
      </c>
    </row>
    <row r="83" spans="1:15" x14ac:dyDescent="0.25">
      <c r="A83" s="3">
        <v>45627</v>
      </c>
      <c r="B83" s="21">
        <v>82</v>
      </c>
      <c r="C83" s="22">
        <v>1</v>
      </c>
      <c r="D83" s="22">
        <v>1</v>
      </c>
      <c r="E83" s="23" t="s">
        <v>71</v>
      </c>
      <c r="F83" s="21">
        <v>4</v>
      </c>
      <c r="G83" s="23" t="s">
        <v>72</v>
      </c>
      <c r="H83" s="21">
        <v>4</v>
      </c>
      <c r="I83" s="23" t="s">
        <v>72</v>
      </c>
      <c r="J83" s="21">
        <v>5</v>
      </c>
      <c r="K83" s="23" t="s">
        <v>72</v>
      </c>
      <c r="L83" s="21">
        <v>0</v>
      </c>
      <c r="M83" s="23" t="s">
        <v>72</v>
      </c>
      <c r="N83" s="21">
        <v>0</v>
      </c>
      <c r="O83" s="23" t="s">
        <v>72</v>
      </c>
    </row>
    <row r="84" spans="1:15" x14ac:dyDescent="0.25">
      <c r="A84" s="1">
        <v>45658</v>
      </c>
      <c r="B84" s="18">
        <v>83</v>
      </c>
      <c r="C84" s="19">
        <v>1</v>
      </c>
      <c r="D84" s="19">
        <v>1</v>
      </c>
      <c r="E84" s="20" t="s">
        <v>71</v>
      </c>
      <c r="F84" s="18">
        <v>4</v>
      </c>
      <c r="G84" s="20" t="s">
        <v>72</v>
      </c>
      <c r="H84" s="18">
        <v>4</v>
      </c>
      <c r="I84" s="20" t="s">
        <v>72</v>
      </c>
      <c r="J84" s="18">
        <v>5</v>
      </c>
      <c r="K84" s="20" t="s">
        <v>72</v>
      </c>
      <c r="L84" s="18">
        <v>0</v>
      </c>
      <c r="M84" s="20" t="s">
        <v>72</v>
      </c>
      <c r="N84" s="18">
        <v>0</v>
      </c>
      <c r="O84" s="20" t="s">
        <v>72</v>
      </c>
    </row>
    <row r="85" spans="1:15" x14ac:dyDescent="0.25">
      <c r="A85" s="3">
        <v>45689</v>
      </c>
      <c r="B85" s="21">
        <v>84</v>
      </c>
      <c r="C85" s="22">
        <v>1</v>
      </c>
      <c r="D85" s="22">
        <v>1</v>
      </c>
      <c r="E85" s="23" t="s">
        <v>71</v>
      </c>
      <c r="F85" s="21">
        <v>4</v>
      </c>
      <c r="G85" s="23" t="s">
        <v>72</v>
      </c>
      <c r="H85" s="21">
        <v>4</v>
      </c>
      <c r="I85" s="23" t="s">
        <v>72</v>
      </c>
      <c r="J85" s="21">
        <v>5</v>
      </c>
      <c r="K85" s="23" t="s">
        <v>72</v>
      </c>
      <c r="L85" s="21">
        <v>0</v>
      </c>
      <c r="M85" s="23" t="s">
        <v>72</v>
      </c>
      <c r="N85" s="21">
        <v>0</v>
      </c>
      <c r="O85" s="23" t="s">
        <v>72</v>
      </c>
    </row>
    <row r="86" spans="1:15" x14ac:dyDescent="0.25">
      <c r="A86" s="1">
        <v>45717</v>
      </c>
      <c r="B86" s="18">
        <v>85</v>
      </c>
      <c r="C86" s="19">
        <v>1</v>
      </c>
      <c r="D86" s="19">
        <v>1</v>
      </c>
      <c r="E86" s="20" t="s">
        <v>71</v>
      </c>
      <c r="F86" s="18">
        <v>5</v>
      </c>
      <c r="G86" s="20" t="s">
        <v>72</v>
      </c>
      <c r="H86" s="18">
        <v>5</v>
      </c>
      <c r="I86" s="20" t="s">
        <v>72</v>
      </c>
      <c r="J86" s="18">
        <v>6</v>
      </c>
      <c r="K86" s="20" t="s">
        <v>72</v>
      </c>
      <c r="L86" s="18">
        <v>0</v>
      </c>
      <c r="M86" s="20" t="s">
        <v>72</v>
      </c>
      <c r="N86" s="18">
        <v>0</v>
      </c>
      <c r="O86" s="20" t="s">
        <v>72</v>
      </c>
    </row>
    <row r="87" spans="1:15" x14ac:dyDescent="0.25">
      <c r="A87" s="3">
        <v>45748</v>
      </c>
      <c r="B87" s="21">
        <v>86</v>
      </c>
      <c r="C87" s="22">
        <v>1</v>
      </c>
      <c r="D87" s="22">
        <v>1</v>
      </c>
      <c r="E87" s="23" t="s">
        <v>71</v>
      </c>
      <c r="F87" s="21">
        <v>5</v>
      </c>
      <c r="G87" s="23" t="s">
        <v>72</v>
      </c>
      <c r="H87" s="21">
        <v>5</v>
      </c>
      <c r="I87" s="23" t="s">
        <v>72</v>
      </c>
      <c r="J87" s="21">
        <v>6</v>
      </c>
      <c r="K87" s="23" t="s">
        <v>72</v>
      </c>
      <c r="L87" s="21">
        <v>0</v>
      </c>
      <c r="M87" s="23" t="s">
        <v>72</v>
      </c>
      <c r="N87" s="21">
        <v>0</v>
      </c>
      <c r="O87" s="23" t="s">
        <v>72</v>
      </c>
    </row>
    <row r="88" spans="1:15" x14ac:dyDescent="0.25">
      <c r="A88" s="1">
        <v>45778</v>
      </c>
      <c r="B88" s="18">
        <v>87</v>
      </c>
      <c r="C88" s="19">
        <v>1</v>
      </c>
      <c r="D88" s="19">
        <v>1</v>
      </c>
      <c r="E88" s="20" t="s">
        <v>71</v>
      </c>
      <c r="F88" s="18">
        <v>5</v>
      </c>
      <c r="G88" s="20" t="s">
        <v>72</v>
      </c>
      <c r="H88" s="18">
        <v>5</v>
      </c>
      <c r="I88" s="20" t="s">
        <v>72</v>
      </c>
      <c r="J88" s="18">
        <v>6</v>
      </c>
      <c r="K88" s="20" t="s">
        <v>72</v>
      </c>
      <c r="L88" s="18">
        <v>0</v>
      </c>
      <c r="M88" s="20" t="s">
        <v>72</v>
      </c>
      <c r="N88" s="18">
        <v>0</v>
      </c>
      <c r="O88" s="20" t="s">
        <v>72</v>
      </c>
    </row>
    <row r="89" spans="1:15" x14ac:dyDescent="0.25">
      <c r="A89" s="3">
        <v>45809</v>
      </c>
      <c r="B89" s="21">
        <v>88</v>
      </c>
      <c r="C89" s="22">
        <v>1</v>
      </c>
      <c r="D89" s="22">
        <v>1</v>
      </c>
      <c r="E89" s="23" t="s">
        <v>71</v>
      </c>
      <c r="F89" s="21">
        <v>5</v>
      </c>
      <c r="G89" s="23" t="s">
        <v>72</v>
      </c>
      <c r="H89" s="21">
        <v>5</v>
      </c>
      <c r="I89" s="23" t="s">
        <v>72</v>
      </c>
      <c r="J89" s="21">
        <v>6</v>
      </c>
      <c r="K89" s="23" t="s">
        <v>72</v>
      </c>
      <c r="L89" s="21">
        <v>0</v>
      </c>
      <c r="M89" s="23" t="s">
        <v>72</v>
      </c>
      <c r="N89" s="21">
        <v>0</v>
      </c>
      <c r="O89" s="23" t="s">
        <v>72</v>
      </c>
    </row>
    <row r="90" spans="1:15" x14ac:dyDescent="0.25">
      <c r="A90" s="1">
        <v>45839</v>
      </c>
      <c r="B90" s="18">
        <v>89</v>
      </c>
      <c r="C90" s="19">
        <v>1</v>
      </c>
      <c r="D90" s="19">
        <v>1</v>
      </c>
      <c r="E90" s="20" t="s">
        <v>71</v>
      </c>
      <c r="F90" s="18">
        <v>5</v>
      </c>
      <c r="G90" s="20" t="s">
        <v>72</v>
      </c>
      <c r="H90" s="18">
        <v>5</v>
      </c>
      <c r="I90" s="20" t="s">
        <v>72</v>
      </c>
      <c r="J90" s="18">
        <v>6</v>
      </c>
      <c r="K90" s="20" t="s">
        <v>72</v>
      </c>
      <c r="L90" s="18">
        <v>0</v>
      </c>
      <c r="M90" s="20" t="s">
        <v>72</v>
      </c>
      <c r="N90" s="18">
        <v>0</v>
      </c>
      <c r="O90" s="20" t="s">
        <v>72</v>
      </c>
    </row>
    <row r="91" spans="1:15" x14ac:dyDescent="0.25">
      <c r="A91" s="3">
        <v>45870</v>
      </c>
      <c r="B91" s="21">
        <v>90</v>
      </c>
      <c r="C91" s="22">
        <v>1</v>
      </c>
      <c r="D91" s="22">
        <v>1</v>
      </c>
      <c r="E91" s="23" t="s">
        <v>71</v>
      </c>
      <c r="F91" s="21">
        <v>5</v>
      </c>
      <c r="G91" s="23" t="s">
        <v>72</v>
      </c>
      <c r="H91" s="21">
        <v>5</v>
      </c>
      <c r="I91" s="23" t="s">
        <v>72</v>
      </c>
      <c r="J91" s="21">
        <v>6</v>
      </c>
      <c r="K91" s="23" t="s">
        <v>72</v>
      </c>
      <c r="L91" s="21">
        <v>0</v>
      </c>
      <c r="M91" s="23" t="s">
        <v>72</v>
      </c>
      <c r="N91" s="21">
        <v>0</v>
      </c>
      <c r="O91" s="23" t="s">
        <v>72</v>
      </c>
    </row>
    <row r="92" spans="1:15" x14ac:dyDescent="0.25">
      <c r="A92" s="1">
        <v>45901</v>
      </c>
      <c r="B92" s="18">
        <v>91</v>
      </c>
      <c r="C92" s="19">
        <v>1</v>
      </c>
      <c r="D92" s="19">
        <v>1</v>
      </c>
      <c r="E92" s="20" t="s">
        <v>71</v>
      </c>
      <c r="F92" s="18">
        <v>5</v>
      </c>
      <c r="G92" s="20" t="s">
        <v>72</v>
      </c>
      <c r="H92" s="18">
        <v>5</v>
      </c>
      <c r="I92" s="20" t="s">
        <v>72</v>
      </c>
      <c r="J92" s="18">
        <v>6</v>
      </c>
      <c r="K92" s="20" t="s">
        <v>72</v>
      </c>
      <c r="L92" s="18">
        <v>0</v>
      </c>
      <c r="M92" s="20" t="s">
        <v>72</v>
      </c>
      <c r="N92" s="18">
        <v>0</v>
      </c>
      <c r="O92" s="20" t="s">
        <v>72</v>
      </c>
    </row>
    <row r="93" spans="1:15" x14ac:dyDescent="0.25">
      <c r="A93" s="3">
        <v>45931</v>
      </c>
      <c r="B93" s="21">
        <v>92</v>
      </c>
      <c r="C93" s="22">
        <v>1</v>
      </c>
      <c r="D93" s="22">
        <v>1</v>
      </c>
      <c r="E93" s="23" t="s">
        <v>71</v>
      </c>
      <c r="F93" s="21">
        <v>5</v>
      </c>
      <c r="G93" s="23" t="s">
        <v>72</v>
      </c>
      <c r="H93" s="21">
        <v>5</v>
      </c>
      <c r="I93" s="23" t="s">
        <v>72</v>
      </c>
      <c r="J93" s="21">
        <v>6</v>
      </c>
      <c r="K93" s="23" t="s">
        <v>72</v>
      </c>
      <c r="L93" s="21">
        <v>0</v>
      </c>
      <c r="M93" s="23" t="s">
        <v>72</v>
      </c>
      <c r="N93" s="21">
        <v>0</v>
      </c>
      <c r="O93" s="23" t="s">
        <v>72</v>
      </c>
    </row>
    <row r="94" spans="1:15" x14ac:dyDescent="0.25">
      <c r="A94" s="1">
        <v>45962</v>
      </c>
      <c r="B94" s="18">
        <v>93</v>
      </c>
      <c r="C94" s="19">
        <v>1</v>
      </c>
      <c r="D94" s="19">
        <v>1</v>
      </c>
      <c r="E94" s="20" t="s">
        <v>71</v>
      </c>
      <c r="F94" s="18">
        <v>5</v>
      </c>
      <c r="G94" s="20" t="s">
        <v>72</v>
      </c>
      <c r="H94" s="18">
        <v>5</v>
      </c>
      <c r="I94" s="20" t="s">
        <v>72</v>
      </c>
      <c r="J94" s="18">
        <v>6</v>
      </c>
      <c r="K94" s="20" t="s">
        <v>72</v>
      </c>
      <c r="L94" s="18">
        <v>0</v>
      </c>
      <c r="M94" s="20" t="s">
        <v>72</v>
      </c>
      <c r="N94" s="18">
        <v>0</v>
      </c>
      <c r="O94" s="20" t="s">
        <v>72</v>
      </c>
    </row>
    <row r="95" spans="1:15" x14ac:dyDescent="0.25">
      <c r="A95" s="3">
        <v>45992</v>
      </c>
      <c r="B95" s="21">
        <v>94</v>
      </c>
      <c r="C95" s="22">
        <v>1</v>
      </c>
      <c r="D95" s="22">
        <v>1</v>
      </c>
      <c r="E95" s="23" t="s">
        <v>71</v>
      </c>
      <c r="F95" s="21">
        <v>5</v>
      </c>
      <c r="G95" s="23" t="s">
        <v>72</v>
      </c>
      <c r="H95" s="21">
        <v>5</v>
      </c>
      <c r="I95" s="23" t="s">
        <v>72</v>
      </c>
      <c r="J95" s="21">
        <v>6</v>
      </c>
      <c r="K95" s="23" t="s">
        <v>72</v>
      </c>
      <c r="L95" s="21">
        <v>0</v>
      </c>
      <c r="M95" s="23" t="s">
        <v>72</v>
      </c>
      <c r="N95" s="21">
        <v>0</v>
      </c>
      <c r="O95" s="23" t="s">
        <v>72</v>
      </c>
    </row>
    <row r="96" spans="1:15" x14ac:dyDescent="0.25">
      <c r="A96" s="1">
        <v>46023</v>
      </c>
      <c r="B96" s="18">
        <v>95</v>
      </c>
      <c r="C96" s="19">
        <v>1</v>
      </c>
      <c r="D96" s="19">
        <v>1</v>
      </c>
      <c r="E96" s="20" t="s">
        <v>71</v>
      </c>
      <c r="F96" s="18">
        <v>5</v>
      </c>
      <c r="G96" s="20" t="s">
        <v>72</v>
      </c>
      <c r="H96" s="18">
        <v>5</v>
      </c>
      <c r="I96" s="20" t="s">
        <v>72</v>
      </c>
      <c r="J96" s="18">
        <v>6</v>
      </c>
      <c r="K96" s="20" t="s">
        <v>72</v>
      </c>
      <c r="L96" s="18">
        <v>0</v>
      </c>
      <c r="M96" s="20" t="s">
        <v>72</v>
      </c>
      <c r="N96" s="18">
        <v>0</v>
      </c>
      <c r="O96" s="20" t="s">
        <v>72</v>
      </c>
    </row>
    <row r="97" spans="1:15" x14ac:dyDescent="0.25">
      <c r="A97" s="3">
        <v>46054</v>
      </c>
      <c r="B97" s="21">
        <v>96</v>
      </c>
      <c r="C97" s="22">
        <v>1</v>
      </c>
      <c r="D97" s="22">
        <v>1</v>
      </c>
      <c r="E97" s="23" t="s">
        <v>71</v>
      </c>
      <c r="F97" s="21">
        <v>5</v>
      </c>
      <c r="G97" s="23" t="s">
        <v>72</v>
      </c>
      <c r="H97" s="21">
        <v>5</v>
      </c>
      <c r="I97" s="23" t="s">
        <v>72</v>
      </c>
      <c r="J97" s="21">
        <v>6</v>
      </c>
      <c r="K97" s="23" t="s">
        <v>72</v>
      </c>
      <c r="L97" s="21">
        <v>0</v>
      </c>
      <c r="M97" s="23" t="s">
        <v>72</v>
      </c>
      <c r="N97" s="21">
        <v>0</v>
      </c>
      <c r="O97" s="23" t="s">
        <v>72</v>
      </c>
    </row>
    <row r="98" spans="1:15" x14ac:dyDescent="0.25">
      <c r="A98" s="1">
        <v>46082</v>
      </c>
      <c r="B98" s="18">
        <v>97</v>
      </c>
      <c r="C98" s="19">
        <v>1</v>
      </c>
      <c r="D98" s="19">
        <v>1</v>
      </c>
      <c r="E98" s="20" t="s">
        <v>71</v>
      </c>
      <c r="F98" s="18">
        <v>6</v>
      </c>
      <c r="G98" s="20" t="s">
        <v>72</v>
      </c>
      <c r="H98" s="18">
        <v>6</v>
      </c>
      <c r="I98" s="20" t="s">
        <v>72</v>
      </c>
      <c r="J98" s="18">
        <v>7</v>
      </c>
      <c r="K98" s="20" t="s">
        <v>72</v>
      </c>
      <c r="L98" s="18">
        <v>0</v>
      </c>
      <c r="M98" s="20" t="s">
        <v>72</v>
      </c>
      <c r="N98" s="18">
        <v>0</v>
      </c>
      <c r="O98" s="20" t="s">
        <v>72</v>
      </c>
    </row>
    <row r="99" spans="1:15" x14ac:dyDescent="0.25">
      <c r="A99" s="3">
        <v>46113</v>
      </c>
      <c r="B99" s="21">
        <v>98</v>
      </c>
      <c r="C99" s="22">
        <v>1</v>
      </c>
      <c r="D99" s="22">
        <v>1</v>
      </c>
      <c r="E99" s="23" t="s">
        <v>71</v>
      </c>
      <c r="F99" s="21">
        <v>6</v>
      </c>
      <c r="G99" s="23" t="s">
        <v>72</v>
      </c>
      <c r="H99" s="21">
        <v>6</v>
      </c>
      <c r="I99" s="23" t="s">
        <v>72</v>
      </c>
      <c r="J99" s="21">
        <v>7</v>
      </c>
      <c r="K99" s="23" t="s">
        <v>72</v>
      </c>
      <c r="L99" s="21">
        <v>0</v>
      </c>
      <c r="M99" s="23" t="s">
        <v>72</v>
      </c>
      <c r="N99" s="21">
        <v>0</v>
      </c>
      <c r="O99" s="23" t="s">
        <v>72</v>
      </c>
    </row>
    <row r="100" spans="1:15" x14ac:dyDescent="0.25">
      <c r="A100" s="1">
        <v>46143</v>
      </c>
      <c r="B100" s="18">
        <v>99</v>
      </c>
      <c r="C100" s="19">
        <v>1</v>
      </c>
      <c r="D100" s="19">
        <v>1</v>
      </c>
      <c r="E100" s="20" t="s">
        <v>71</v>
      </c>
      <c r="F100" s="18">
        <v>6</v>
      </c>
      <c r="G100" s="20" t="s">
        <v>72</v>
      </c>
      <c r="H100" s="18">
        <v>6</v>
      </c>
      <c r="I100" s="20" t="s">
        <v>72</v>
      </c>
      <c r="J100" s="18">
        <v>7</v>
      </c>
      <c r="K100" s="20" t="s">
        <v>72</v>
      </c>
      <c r="L100" s="18">
        <v>0</v>
      </c>
      <c r="M100" s="20" t="s">
        <v>72</v>
      </c>
      <c r="N100" s="18">
        <v>0</v>
      </c>
      <c r="O100" s="20" t="s">
        <v>72</v>
      </c>
    </row>
    <row r="101" spans="1:15" x14ac:dyDescent="0.25">
      <c r="A101" s="3">
        <v>46174</v>
      </c>
      <c r="B101" s="21">
        <v>100</v>
      </c>
      <c r="C101" s="22">
        <v>1</v>
      </c>
      <c r="D101" s="22">
        <v>1</v>
      </c>
      <c r="E101" s="23" t="s">
        <v>71</v>
      </c>
      <c r="F101" s="21">
        <v>6</v>
      </c>
      <c r="G101" s="23" t="s">
        <v>72</v>
      </c>
      <c r="H101" s="21">
        <v>6</v>
      </c>
      <c r="I101" s="23" t="s">
        <v>72</v>
      </c>
      <c r="J101" s="21">
        <v>7</v>
      </c>
      <c r="K101" s="23" t="s">
        <v>72</v>
      </c>
      <c r="L101" s="21">
        <v>0</v>
      </c>
      <c r="M101" s="23" t="s">
        <v>72</v>
      </c>
      <c r="N101" s="21">
        <v>0</v>
      </c>
      <c r="O101" s="23" t="s">
        <v>72</v>
      </c>
    </row>
    <row r="102" spans="1:15" x14ac:dyDescent="0.25">
      <c r="A102" s="1">
        <v>46204</v>
      </c>
      <c r="B102" s="18">
        <v>101</v>
      </c>
      <c r="C102" s="19">
        <v>1</v>
      </c>
      <c r="D102" s="19">
        <v>1</v>
      </c>
      <c r="E102" s="20" t="s">
        <v>71</v>
      </c>
      <c r="F102" s="18">
        <v>6</v>
      </c>
      <c r="G102" s="20" t="s">
        <v>72</v>
      </c>
      <c r="H102" s="18">
        <v>6</v>
      </c>
      <c r="I102" s="20" t="s">
        <v>72</v>
      </c>
      <c r="J102" s="18">
        <v>7</v>
      </c>
      <c r="K102" s="20" t="s">
        <v>72</v>
      </c>
      <c r="L102" s="18">
        <v>0</v>
      </c>
      <c r="M102" s="20" t="s">
        <v>72</v>
      </c>
      <c r="N102" s="18">
        <v>0</v>
      </c>
      <c r="O102" s="20" t="s">
        <v>72</v>
      </c>
    </row>
    <row r="103" spans="1:15" x14ac:dyDescent="0.25">
      <c r="A103" s="3">
        <v>46235</v>
      </c>
      <c r="B103" s="21">
        <v>102</v>
      </c>
      <c r="C103" s="22">
        <v>1</v>
      </c>
      <c r="D103" s="22">
        <v>1</v>
      </c>
      <c r="E103" s="23" t="s">
        <v>71</v>
      </c>
      <c r="F103" s="21">
        <v>6</v>
      </c>
      <c r="G103" s="23" t="s">
        <v>72</v>
      </c>
      <c r="H103" s="21">
        <v>6</v>
      </c>
      <c r="I103" s="23" t="s">
        <v>72</v>
      </c>
      <c r="J103" s="21">
        <v>7</v>
      </c>
      <c r="K103" s="23" t="s">
        <v>72</v>
      </c>
      <c r="L103" s="21">
        <v>0</v>
      </c>
      <c r="M103" s="23" t="s">
        <v>72</v>
      </c>
      <c r="N103" s="21">
        <v>0</v>
      </c>
      <c r="O103" s="23" t="s">
        <v>72</v>
      </c>
    </row>
    <row r="104" spans="1:15" x14ac:dyDescent="0.25">
      <c r="A104" s="1">
        <v>46266</v>
      </c>
      <c r="B104" s="18">
        <v>103</v>
      </c>
      <c r="C104" s="19">
        <v>1</v>
      </c>
      <c r="D104" s="19">
        <v>1</v>
      </c>
      <c r="E104" s="20" t="s">
        <v>71</v>
      </c>
      <c r="F104" s="18">
        <v>6</v>
      </c>
      <c r="G104" s="20" t="s">
        <v>72</v>
      </c>
      <c r="H104" s="18">
        <v>6</v>
      </c>
      <c r="I104" s="20" t="s">
        <v>72</v>
      </c>
      <c r="J104" s="18">
        <v>7</v>
      </c>
      <c r="K104" s="20" t="s">
        <v>72</v>
      </c>
      <c r="L104" s="18">
        <v>0</v>
      </c>
      <c r="M104" s="20" t="s">
        <v>72</v>
      </c>
      <c r="N104" s="18">
        <v>0</v>
      </c>
      <c r="O104" s="20" t="s">
        <v>72</v>
      </c>
    </row>
    <row r="105" spans="1:15" x14ac:dyDescent="0.25">
      <c r="A105" s="3">
        <v>46296</v>
      </c>
      <c r="B105" s="21">
        <v>104</v>
      </c>
      <c r="C105" s="22">
        <v>1</v>
      </c>
      <c r="D105" s="22">
        <v>1</v>
      </c>
      <c r="E105" s="23" t="s">
        <v>71</v>
      </c>
      <c r="F105" s="21">
        <v>6</v>
      </c>
      <c r="G105" s="23" t="s">
        <v>72</v>
      </c>
      <c r="H105" s="21">
        <v>6</v>
      </c>
      <c r="I105" s="23" t="s">
        <v>72</v>
      </c>
      <c r="J105" s="21">
        <v>7</v>
      </c>
      <c r="K105" s="23" t="s">
        <v>72</v>
      </c>
      <c r="L105" s="21">
        <v>0</v>
      </c>
      <c r="M105" s="23" t="s">
        <v>72</v>
      </c>
      <c r="N105" s="21">
        <v>0</v>
      </c>
      <c r="O105" s="23" t="s">
        <v>72</v>
      </c>
    </row>
    <row r="106" spans="1:15" x14ac:dyDescent="0.25">
      <c r="A106" s="1">
        <v>46327</v>
      </c>
      <c r="B106" s="18">
        <v>105</v>
      </c>
      <c r="C106" s="19">
        <v>1</v>
      </c>
      <c r="D106" s="19">
        <v>1</v>
      </c>
      <c r="E106" s="20" t="s">
        <v>71</v>
      </c>
      <c r="F106" s="18">
        <v>6</v>
      </c>
      <c r="G106" s="20" t="s">
        <v>72</v>
      </c>
      <c r="H106" s="18">
        <v>6</v>
      </c>
      <c r="I106" s="20" t="s">
        <v>72</v>
      </c>
      <c r="J106" s="18">
        <v>7</v>
      </c>
      <c r="K106" s="20" t="s">
        <v>72</v>
      </c>
      <c r="L106" s="18">
        <v>0</v>
      </c>
      <c r="M106" s="20" t="s">
        <v>72</v>
      </c>
      <c r="N106" s="18">
        <v>0</v>
      </c>
      <c r="O106" s="20" t="s">
        <v>72</v>
      </c>
    </row>
    <row r="107" spans="1:15" x14ac:dyDescent="0.25">
      <c r="A107" s="3">
        <v>46357</v>
      </c>
      <c r="B107" s="21">
        <v>106</v>
      </c>
      <c r="C107" s="22">
        <v>1</v>
      </c>
      <c r="D107" s="22">
        <v>1</v>
      </c>
      <c r="E107" s="23" t="s">
        <v>71</v>
      </c>
      <c r="F107" s="21">
        <v>6</v>
      </c>
      <c r="G107" s="23" t="s">
        <v>72</v>
      </c>
      <c r="H107" s="21">
        <v>6</v>
      </c>
      <c r="I107" s="23" t="s">
        <v>72</v>
      </c>
      <c r="J107" s="21">
        <v>7</v>
      </c>
      <c r="K107" s="23" t="s">
        <v>72</v>
      </c>
      <c r="L107" s="21">
        <v>0</v>
      </c>
      <c r="M107" s="23" t="s">
        <v>72</v>
      </c>
      <c r="N107" s="21">
        <v>0</v>
      </c>
      <c r="O107" s="23" t="s">
        <v>72</v>
      </c>
    </row>
    <row r="108" spans="1:15" x14ac:dyDescent="0.25">
      <c r="A108" s="1">
        <v>46388</v>
      </c>
      <c r="B108" s="18">
        <v>107</v>
      </c>
      <c r="C108" s="19">
        <v>1</v>
      </c>
      <c r="D108" s="19">
        <v>1</v>
      </c>
      <c r="E108" s="20" t="s">
        <v>71</v>
      </c>
      <c r="F108" s="18">
        <v>6</v>
      </c>
      <c r="G108" s="20" t="s">
        <v>72</v>
      </c>
      <c r="H108" s="18">
        <v>6</v>
      </c>
      <c r="I108" s="20" t="s">
        <v>72</v>
      </c>
      <c r="J108" s="18">
        <v>7</v>
      </c>
      <c r="K108" s="20" t="s">
        <v>72</v>
      </c>
      <c r="L108" s="18">
        <v>0</v>
      </c>
      <c r="M108" s="20" t="s">
        <v>72</v>
      </c>
      <c r="N108" s="18">
        <v>0</v>
      </c>
      <c r="O108" s="20" t="s">
        <v>72</v>
      </c>
    </row>
    <row r="109" spans="1:15" x14ac:dyDescent="0.25">
      <c r="A109" s="3">
        <v>46419</v>
      </c>
      <c r="B109" s="21">
        <v>108</v>
      </c>
      <c r="C109" s="22">
        <v>1</v>
      </c>
      <c r="D109" s="22">
        <v>1</v>
      </c>
      <c r="E109" s="23" t="s">
        <v>71</v>
      </c>
      <c r="F109" s="21">
        <v>6</v>
      </c>
      <c r="G109" s="23" t="s">
        <v>72</v>
      </c>
      <c r="H109" s="21">
        <v>6</v>
      </c>
      <c r="I109" s="23" t="s">
        <v>72</v>
      </c>
      <c r="J109" s="21">
        <v>7</v>
      </c>
      <c r="K109" s="23" t="s">
        <v>72</v>
      </c>
      <c r="L109" s="21">
        <v>0</v>
      </c>
      <c r="M109" s="23" t="s">
        <v>72</v>
      </c>
      <c r="N109" s="21">
        <v>0</v>
      </c>
      <c r="O109" s="23" t="s">
        <v>72</v>
      </c>
    </row>
    <row r="110" spans="1:15" x14ac:dyDescent="0.25">
      <c r="A110" s="1">
        <v>46447</v>
      </c>
      <c r="B110" s="18">
        <v>109</v>
      </c>
      <c r="C110" s="19">
        <v>1</v>
      </c>
      <c r="D110" s="19">
        <v>1</v>
      </c>
      <c r="E110" s="20" t="s">
        <v>71</v>
      </c>
      <c r="F110" s="18">
        <v>7</v>
      </c>
      <c r="G110" s="20" t="s">
        <v>72</v>
      </c>
      <c r="H110" s="18">
        <v>7</v>
      </c>
      <c r="I110" s="20" t="s">
        <v>72</v>
      </c>
      <c r="J110" s="18">
        <v>8</v>
      </c>
      <c r="K110" s="20" t="s">
        <v>72</v>
      </c>
      <c r="L110" s="18">
        <v>0</v>
      </c>
      <c r="M110" s="20" t="s">
        <v>72</v>
      </c>
      <c r="N110" s="18">
        <v>0</v>
      </c>
      <c r="O110" s="20" t="s">
        <v>72</v>
      </c>
    </row>
    <row r="111" spans="1:15" x14ac:dyDescent="0.25">
      <c r="A111" s="3">
        <v>46478</v>
      </c>
      <c r="B111" s="21">
        <v>110</v>
      </c>
      <c r="C111" s="22">
        <v>1</v>
      </c>
      <c r="D111" s="22">
        <v>1</v>
      </c>
      <c r="E111" s="23" t="s">
        <v>71</v>
      </c>
      <c r="F111" s="21">
        <v>7</v>
      </c>
      <c r="G111" s="23" t="s">
        <v>72</v>
      </c>
      <c r="H111" s="21">
        <v>7</v>
      </c>
      <c r="I111" s="23" t="s">
        <v>72</v>
      </c>
      <c r="J111" s="21">
        <v>8</v>
      </c>
      <c r="K111" s="23" t="s">
        <v>72</v>
      </c>
      <c r="L111" s="21">
        <v>0</v>
      </c>
      <c r="M111" s="23" t="s">
        <v>72</v>
      </c>
      <c r="N111" s="21">
        <v>0</v>
      </c>
      <c r="O111" s="23" t="s">
        <v>72</v>
      </c>
    </row>
    <row r="112" spans="1:15" x14ac:dyDescent="0.25">
      <c r="A112" s="1">
        <v>46508</v>
      </c>
      <c r="B112" s="18">
        <v>111</v>
      </c>
      <c r="C112" s="19">
        <v>1</v>
      </c>
      <c r="D112" s="19">
        <v>1</v>
      </c>
      <c r="E112" s="20" t="s">
        <v>71</v>
      </c>
      <c r="F112" s="18">
        <v>7</v>
      </c>
      <c r="G112" s="20" t="s">
        <v>72</v>
      </c>
      <c r="H112" s="18">
        <v>7</v>
      </c>
      <c r="I112" s="20" t="s">
        <v>72</v>
      </c>
      <c r="J112" s="18">
        <v>8</v>
      </c>
      <c r="K112" s="20" t="s">
        <v>72</v>
      </c>
      <c r="L112" s="18">
        <v>0</v>
      </c>
      <c r="M112" s="20" t="s">
        <v>72</v>
      </c>
      <c r="N112" s="18">
        <v>0</v>
      </c>
      <c r="O112" s="20" t="s">
        <v>72</v>
      </c>
    </row>
    <row r="113" spans="1:15" x14ac:dyDescent="0.25">
      <c r="A113" s="3">
        <v>46539</v>
      </c>
      <c r="B113" s="21">
        <v>112</v>
      </c>
      <c r="C113" s="22">
        <v>1</v>
      </c>
      <c r="D113" s="22">
        <v>1</v>
      </c>
      <c r="E113" s="23" t="s">
        <v>71</v>
      </c>
      <c r="F113" s="21">
        <v>7</v>
      </c>
      <c r="G113" s="23" t="s">
        <v>72</v>
      </c>
      <c r="H113" s="21">
        <v>7</v>
      </c>
      <c r="I113" s="23" t="s">
        <v>72</v>
      </c>
      <c r="J113" s="21">
        <v>8</v>
      </c>
      <c r="K113" s="23" t="s">
        <v>72</v>
      </c>
      <c r="L113" s="21">
        <v>0</v>
      </c>
      <c r="M113" s="23" t="s">
        <v>72</v>
      </c>
      <c r="N113" s="21">
        <v>0</v>
      </c>
      <c r="O113" s="23" t="s">
        <v>72</v>
      </c>
    </row>
    <row r="114" spans="1:15" x14ac:dyDescent="0.25">
      <c r="A114" s="1">
        <v>46569</v>
      </c>
      <c r="B114" s="18">
        <v>113</v>
      </c>
      <c r="C114" s="19">
        <v>1</v>
      </c>
      <c r="D114" s="19">
        <v>1</v>
      </c>
      <c r="E114" s="20" t="s">
        <v>71</v>
      </c>
      <c r="F114" s="18">
        <v>7</v>
      </c>
      <c r="G114" s="20" t="s">
        <v>72</v>
      </c>
      <c r="H114" s="18">
        <v>7</v>
      </c>
      <c r="I114" s="20" t="s">
        <v>72</v>
      </c>
      <c r="J114" s="18">
        <v>8</v>
      </c>
      <c r="K114" s="20" t="s">
        <v>72</v>
      </c>
      <c r="L114" s="18">
        <v>0</v>
      </c>
      <c r="M114" s="20" t="s">
        <v>72</v>
      </c>
      <c r="N114" s="18">
        <v>0</v>
      </c>
      <c r="O114" s="20" t="s">
        <v>72</v>
      </c>
    </row>
    <row r="115" spans="1:15" x14ac:dyDescent="0.25">
      <c r="A115" s="3">
        <v>46600</v>
      </c>
      <c r="B115" s="21">
        <v>114</v>
      </c>
      <c r="C115" s="22">
        <v>1</v>
      </c>
      <c r="D115" s="22">
        <v>1</v>
      </c>
      <c r="E115" s="23" t="s">
        <v>71</v>
      </c>
      <c r="F115" s="21">
        <v>7</v>
      </c>
      <c r="G115" s="23" t="s">
        <v>72</v>
      </c>
      <c r="H115" s="21">
        <v>7</v>
      </c>
      <c r="I115" s="23" t="s">
        <v>72</v>
      </c>
      <c r="J115" s="21">
        <v>8</v>
      </c>
      <c r="K115" s="23" t="s">
        <v>72</v>
      </c>
      <c r="L115" s="21">
        <v>0</v>
      </c>
      <c r="M115" s="23" t="s">
        <v>72</v>
      </c>
      <c r="N115" s="21">
        <v>0</v>
      </c>
      <c r="O115" s="23" t="s">
        <v>72</v>
      </c>
    </row>
    <row r="116" spans="1:15" x14ac:dyDescent="0.25">
      <c r="A116" s="1">
        <v>46631</v>
      </c>
      <c r="B116" s="18">
        <v>115</v>
      </c>
      <c r="C116" s="19">
        <v>1</v>
      </c>
      <c r="D116" s="19">
        <v>1</v>
      </c>
      <c r="E116" s="20" t="s">
        <v>71</v>
      </c>
      <c r="F116" s="18">
        <v>7</v>
      </c>
      <c r="G116" s="20" t="s">
        <v>72</v>
      </c>
      <c r="H116" s="18">
        <v>7</v>
      </c>
      <c r="I116" s="20" t="s">
        <v>72</v>
      </c>
      <c r="J116" s="18">
        <v>8</v>
      </c>
      <c r="K116" s="20" t="s">
        <v>72</v>
      </c>
      <c r="L116" s="18">
        <v>0</v>
      </c>
      <c r="M116" s="20" t="s">
        <v>72</v>
      </c>
      <c r="N116" s="18">
        <v>0</v>
      </c>
      <c r="O116" s="20" t="s">
        <v>72</v>
      </c>
    </row>
    <row r="117" spans="1:15" x14ac:dyDescent="0.25">
      <c r="A117" s="3">
        <v>46661</v>
      </c>
      <c r="B117" s="21">
        <v>116</v>
      </c>
      <c r="C117" s="22">
        <v>1</v>
      </c>
      <c r="D117" s="22">
        <v>1</v>
      </c>
      <c r="E117" s="23" t="s">
        <v>71</v>
      </c>
      <c r="F117" s="21">
        <v>7</v>
      </c>
      <c r="G117" s="23" t="s">
        <v>72</v>
      </c>
      <c r="H117" s="21">
        <v>7</v>
      </c>
      <c r="I117" s="23" t="s">
        <v>72</v>
      </c>
      <c r="J117" s="21">
        <v>8</v>
      </c>
      <c r="K117" s="23" t="s">
        <v>72</v>
      </c>
      <c r="L117" s="21">
        <v>0</v>
      </c>
      <c r="M117" s="23" t="s">
        <v>72</v>
      </c>
      <c r="N117" s="21">
        <v>0</v>
      </c>
      <c r="O117" s="23" t="s">
        <v>72</v>
      </c>
    </row>
    <row r="118" spans="1:15" x14ac:dyDescent="0.25">
      <c r="A118" s="1">
        <v>46692</v>
      </c>
      <c r="B118" s="18">
        <v>117</v>
      </c>
      <c r="C118" s="19">
        <v>1</v>
      </c>
      <c r="D118" s="19">
        <v>1</v>
      </c>
      <c r="E118" s="20" t="s">
        <v>71</v>
      </c>
      <c r="F118" s="18">
        <v>7</v>
      </c>
      <c r="G118" s="20" t="s">
        <v>72</v>
      </c>
      <c r="H118" s="18">
        <v>7</v>
      </c>
      <c r="I118" s="20" t="s">
        <v>72</v>
      </c>
      <c r="J118" s="18">
        <v>8</v>
      </c>
      <c r="K118" s="20" t="s">
        <v>72</v>
      </c>
      <c r="L118" s="18">
        <v>0</v>
      </c>
      <c r="M118" s="20" t="s">
        <v>72</v>
      </c>
      <c r="N118" s="18">
        <v>0</v>
      </c>
      <c r="O118" s="20" t="s">
        <v>72</v>
      </c>
    </row>
    <row r="119" spans="1:15" x14ac:dyDescent="0.25">
      <c r="A119" s="3">
        <v>46722</v>
      </c>
      <c r="B119" s="21">
        <v>118</v>
      </c>
      <c r="C119" s="22">
        <v>1</v>
      </c>
      <c r="D119" s="22">
        <v>1</v>
      </c>
      <c r="E119" s="23" t="s">
        <v>71</v>
      </c>
      <c r="F119" s="21">
        <v>7</v>
      </c>
      <c r="G119" s="23" t="s">
        <v>72</v>
      </c>
      <c r="H119" s="21">
        <v>7</v>
      </c>
      <c r="I119" s="23" t="s">
        <v>72</v>
      </c>
      <c r="J119" s="21">
        <v>8</v>
      </c>
      <c r="K119" s="23" t="s">
        <v>72</v>
      </c>
      <c r="L119" s="21">
        <v>0</v>
      </c>
      <c r="M119" s="23" t="s">
        <v>72</v>
      </c>
      <c r="N119" s="21">
        <v>0</v>
      </c>
      <c r="O119" s="23" t="s">
        <v>72</v>
      </c>
    </row>
    <row r="120" spans="1:15" x14ac:dyDescent="0.25">
      <c r="A120" s="1">
        <v>46753</v>
      </c>
      <c r="B120" s="18">
        <v>119</v>
      </c>
      <c r="C120" s="19">
        <v>1</v>
      </c>
      <c r="D120" s="19">
        <v>1</v>
      </c>
      <c r="E120" s="20" t="s">
        <v>71</v>
      </c>
      <c r="F120" s="18">
        <v>7</v>
      </c>
      <c r="G120" s="20" t="s">
        <v>72</v>
      </c>
      <c r="H120" s="18">
        <v>7</v>
      </c>
      <c r="I120" s="20" t="s">
        <v>72</v>
      </c>
      <c r="J120" s="18">
        <v>8</v>
      </c>
      <c r="K120" s="20" t="s">
        <v>72</v>
      </c>
      <c r="L120" s="18">
        <v>0</v>
      </c>
      <c r="M120" s="20" t="s">
        <v>72</v>
      </c>
      <c r="N120" s="18">
        <v>0</v>
      </c>
      <c r="O120" s="20" t="s">
        <v>72</v>
      </c>
    </row>
    <row r="121" spans="1:15" x14ac:dyDescent="0.25">
      <c r="A121" s="3">
        <v>46784</v>
      </c>
      <c r="B121" s="21">
        <v>120</v>
      </c>
      <c r="C121" s="22">
        <v>1</v>
      </c>
      <c r="D121" s="22">
        <v>1</v>
      </c>
      <c r="E121" s="23" t="s">
        <v>71</v>
      </c>
      <c r="F121" s="21">
        <v>7</v>
      </c>
      <c r="G121" s="23" t="s">
        <v>72</v>
      </c>
      <c r="H121" s="21">
        <v>7</v>
      </c>
      <c r="I121" s="23" t="s">
        <v>72</v>
      </c>
      <c r="J121" s="21">
        <v>8</v>
      </c>
      <c r="K121" s="23" t="s">
        <v>72</v>
      </c>
      <c r="L121" s="21">
        <v>0</v>
      </c>
      <c r="M121" s="23" t="s">
        <v>72</v>
      </c>
      <c r="N121" s="21">
        <v>0</v>
      </c>
      <c r="O121" s="23" t="s">
        <v>72</v>
      </c>
    </row>
    <row r="122" spans="1:15" x14ac:dyDescent="0.25">
      <c r="A122" s="1">
        <v>46813</v>
      </c>
      <c r="B122" s="18">
        <v>121</v>
      </c>
      <c r="C122" s="19">
        <v>1</v>
      </c>
      <c r="D122" s="19">
        <v>1</v>
      </c>
      <c r="E122" s="20" t="s">
        <v>71</v>
      </c>
      <c r="F122" s="18">
        <v>8</v>
      </c>
      <c r="G122" s="20" t="s">
        <v>72</v>
      </c>
      <c r="H122" s="18">
        <v>8</v>
      </c>
      <c r="I122" s="20" t="s">
        <v>72</v>
      </c>
      <c r="J122" s="18">
        <v>9</v>
      </c>
      <c r="K122" s="20" t="s">
        <v>72</v>
      </c>
      <c r="L122" s="18">
        <v>0</v>
      </c>
      <c r="M122" s="20" t="s">
        <v>72</v>
      </c>
      <c r="N122" s="18">
        <v>0</v>
      </c>
      <c r="O122" s="20" t="s">
        <v>72</v>
      </c>
    </row>
    <row r="123" spans="1:15" x14ac:dyDescent="0.25">
      <c r="A123" s="3">
        <v>46844</v>
      </c>
      <c r="B123" s="21">
        <v>122</v>
      </c>
      <c r="C123" s="22">
        <v>1</v>
      </c>
      <c r="D123" s="22">
        <v>1</v>
      </c>
      <c r="E123" s="23" t="s">
        <v>71</v>
      </c>
      <c r="F123" s="21">
        <v>8</v>
      </c>
      <c r="G123" s="23" t="s">
        <v>72</v>
      </c>
      <c r="H123" s="21">
        <v>8</v>
      </c>
      <c r="I123" s="23" t="s">
        <v>72</v>
      </c>
      <c r="J123" s="21">
        <v>9</v>
      </c>
      <c r="K123" s="23" t="s">
        <v>72</v>
      </c>
      <c r="L123" s="21">
        <v>0</v>
      </c>
      <c r="M123" s="23" t="s">
        <v>72</v>
      </c>
      <c r="N123" s="21">
        <v>0</v>
      </c>
      <c r="O123" s="23" t="s">
        <v>72</v>
      </c>
    </row>
    <row r="124" spans="1:15" x14ac:dyDescent="0.25">
      <c r="A124" s="1">
        <v>46874</v>
      </c>
      <c r="B124" s="18">
        <v>123</v>
      </c>
      <c r="C124" s="19">
        <v>1</v>
      </c>
      <c r="D124" s="19">
        <v>1</v>
      </c>
      <c r="E124" s="20" t="s">
        <v>71</v>
      </c>
      <c r="F124" s="18">
        <v>8</v>
      </c>
      <c r="G124" s="20" t="s">
        <v>72</v>
      </c>
      <c r="H124" s="18">
        <v>8</v>
      </c>
      <c r="I124" s="20" t="s">
        <v>72</v>
      </c>
      <c r="J124" s="18">
        <v>9</v>
      </c>
      <c r="K124" s="20" t="s">
        <v>72</v>
      </c>
      <c r="L124" s="18">
        <v>0</v>
      </c>
      <c r="M124" s="20" t="s">
        <v>72</v>
      </c>
      <c r="N124" s="18">
        <v>0</v>
      </c>
      <c r="O124" s="20" t="s">
        <v>72</v>
      </c>
    </row>
    <row r="125" spans="1:15" x14ac:dyDescent="0.25">
      <c r="A125" s="3">
        <v>46905</v>
      </c>
      <c r="B125" s="21">
        <v>124</v>
      </c>
      <c r="C125" s="22">
        <v>1</v>
      </c>
      <c r="D125" s="22">
        <v>1</v>
      </c>
      <c r="E125" s="23" t="s">
        <v>71</v>
      </c>
      <c r="F125" s="21">
        <v>8</v>
      </c>
      <c r="G125" s="23" t="s">
        <v>72</v>
      </c>
      <c r="H125" s="21">
        <v>8</v>
      </c>
      <c r="I125" s="23" t="s">
        <v>72</v>
      </c>
      <c r="J125" s="21">
        <v>9</v>
      </c>
      <c r="K125" s="23" t="s">
        <v>72</v>
      </c>
      <c r="L125" s="21">
        <v>0</v>
      </c>
      <c r="M125" s="23" t="s">
        <v>72</v>
      </c>
      <c r="N125" s="21">
        <v>0</v>
      </c>
      <c r="O125" s="23" t="s">
        <v>72</v>
      </c>
    </row>
  </sheetData>
  <pageMargins left="0.7" right="0.7" top="0.75" bottom="0.75" header="0.3" footer="0.3"/>
  <ignoredErrors>
    <ignoredError sqref="A1:O1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Lease Schedule blank</vt:lpstr>
      <vt:lpstr>Lease Schedule (populated)</vt:lpstr>
      <vt:lpstr>Annual Summary</vt:lpstr>
      <vt:lpstr>Audit 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Lease Schedule</dc:title>
  <dc:creator>DEODATE Lease Schedule Engine</dc:creator>
  <cp:lastModifiedBy>Lucas Jen</cp:lastModifiedBy>
  <dcterms:created xsi:type="dcterms:W3CDTF">2026-03-17T00:15:41Z</dcterms:created>
  <dcterms:modified xsi:type="dcterms:W3CDTF">2026-03-23T16:43:08Z</dcterms:modified>
</cp:coreProperties>
</file>